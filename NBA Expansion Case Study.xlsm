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queryTables/queryTable3.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queryTables/queryTable4.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5.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03" codeName="{00000000-0000-0000-0000-000000000000}"/>
  <workbookPr codeName="ThisWorkbook"/>
  <mc:AlternateContent xmlns:mc="http://schemas.openxmlformats.org/markup-compatibility/2006">
    <mc:Choice Requires="x15">
      <x15ac:absPath xmlns:x15ac="http://schemas.microsoft.com/office/spreadsheetml/2010/11/ac" url="https://auladbrokes-my.sharepoint.com/personal/samuel_kelly_entaingroup_co_nz/Documents/"/>
    </mc:Choice>
  </mc:AlternateContent>
  <xr:revisionPtr revIDLastSave="0" documentId="8_{ABC922E8-7BDC-4E67-AFEF-BDF003CC4203}" xr6:coauthVersionLast="47" xr6:coauthVersionMax="47" xr10:uidLastSave="{00000000-0000-0000-0000-000000000000}"/>
  <bookViews>
    <workbookView xWindow="13245" yWindow="-16320" windowWidth="29040" windowHeight="15720" tabRatio="990" firstSheet="2" activeTab="2" xr2:uid="{E68716C9-11EA-432C-A417-8602FA5E5007}"/>
  </bookViews>
  <sheets>
    <sheet name="Expansion Cities Data" sheetId="1" r:id="rId1"/>
    <sheet name="NBA Teams Data" sheetId="9" r:id="rId2"/>
    <sheet name="All Cities WCS" sheetId="36" r:id="rId3"/>
    <sheet name="Expansion City WCS" sheetId="20" r:id="rId4"/>
    <sheet name="NBA City WCS" sheetId="34" r:id="rId5"/>
    <sheet name="Region Lookup" sheetId="2" r:id="rId6"/>
    <sheet name="USA Metro Population Lookup" sheetId="8" r:id="rId7"/>
    <sheet name="Demographic Data Lookup" sheetId="21" r:id="rId8"/>
    <sheet name="Income Data Lookup" sheetId="18" r:id="rId9"/>
    <sheet name="Nielsen TV Market Lookup" sheetId="6" r:id="rId10"/>
    <sheet name="NBA Google Analytic Trend Score" sheetId="22" r:id="rId11"/>
    <sheet name="Major Sports Teams Lookup" sheetId="15" r:id="rId12"/>
    <sheet name="Fortune 500 Companies Lookup" sheetId="10" r:id="rId13"/>
    <sheet name="NBA Team Financial Data Lookup" sheetId="17" r:id="rId14"/>
    <sheet name="PivotTable - WCS" sheetId="37" r:id="rId15"/>
    <sheet name="PivotTable - Population" sheetId="43" r:id="rId16"/>
  </sheets>
  <definedNames>
    <definedName name="_xleta.MAX" hidden="1" xlm="1">#NAME?</definedName>
    <definedName name="_xleta.MIN" hidden="1" xlm="1">#NAME?</definedName>
    <definedName name="_xleta.NA" hidden="1" xlm="1">#NAME?</definedName>
    <definedName name="_xleta.TREND" hidden="1" xlm="1">#NAME?</definedName>
    <definedName name="_xleta.VALUE" hidden="1" xlm="1">#NAME?</definedName>
    <definedName name="ExternalData_1" localSheetId="11" hidden="1">'Major Sports Teams Lookup'!$A$1:$B$125</definedName>
    <definedName name="ExternalData_1" localSheetId="13" hidden="1">'NBA Team Financial Data Lookup'!$A$1:$D$31</definedName>
    <definedName name="ExternalData_1" localSheetId="1" hidden="1">'NBA Teams Data'!$B$1:$O$31</definedName>
    <definedName name="ExternalData_1" localSheetId="9" hidden="1">'Nielsen TV Market Lookup'!$A$1:$B$202</definedName>
    <definedName name="ExternalData_1" localSheetId="6" hidden="1">'USA Metro Population Lookup'!$A$1:$C$387</definedName>
    <definedName name="Slicer_Region">#N/A</definedName>
  </definedNames>
  <calcPr calcId="191028"/>
  <pivotCaches>
    <pivotCache cacheId="2900" r:id="rId17"/>
  </pivotCaches>
  <extLst>
    <ext xmlns:x14="http://schemas.microsoft.com/office/spreadsheetml/2009/9/main" uri="{BBE1A952-AA13-448e-AADC-164F8A28A991}">
      <x14:slicerCaches>
        <x14:slicerCache r:id="rId1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1" l="1"/>
  <c r="F3" i="1"/>
  <c r="F4" i="1"/>
  <c r="F5" i="1"/>
  <c r="F6" i="1"/>
  <c r="F7" i="1"/>
  <c r="F8" i="1"/>
  <c r="F9" i="1"/>
  <c r="F10" i="1"/>
  <c r="F11" i="1"/>
  <c r="F12" i="1"/>
  <c r="F13" i="1"/>
  <c r="F14" i="1"/>
  <c r="F15" i="1"/>
  <c r="F16" i="1"/>
  <c r="F17" i="1"/>
  <c r="F44" i="36"/>
  <c r="F45" i="36"/>
  <c r="F2" i="36"/>
  <c r="Q3" i="36"/>
  <c r="R3" i="36" s="1"/>
  <c r="Q4" i="36"/>
  <c r="R4" i="36" s="1"/>
  <c r="Q5" i="36"/>
  <c r="R5" i="36" s="1"/>
  <c r="Q6" i="36"/>
  <c r="R6" i="36" s="1"/>
  <c r="Q7" i="36"/>
  <c r="R7" i="36" s="1"/>
  <c r="Q8" i="36"/>
  <c r="R8" i="36" s="1"/>
  <c r="Q9" i="36"/>
  <c r="R9" i="36" s="1"/>
  <c r="Q10" i="36"/>
  <c r="R10" i="36" s="1"/>
  <c r="Q11" i="36"/>
  <c r="R11" i="36" s="1"/>
  <c r="Q12" i="36"/>
  <c r="R12" i="36" s="1"/>
  <c r="Q13" i="36"/>
  <c r="R13" i="36" s="1"/>
  <c r="Q14" i="36"/>
  <c r="R14" i="36" s="1"/>
  <c r="Q15" i="36"/>
  <c r="R15" i="36" s="1"/>
  <c r="Q16" i="36"/>
  <c r="R16" i="36" s="1"/>
  <c r="Q17" i="36"/>
  <c r="R17" i="36" s="1"/>
  <c r="Q18" i="36"/>
  <c r="R18" i="36" s="1"/>
  <c r="Q19" i="36"/>
  <c r="R19" i="36" s="1"/>
  <c r="Q20" i="36"/>
  <c r="R20" i="36" s="1"/>
  <c r="Q21" i="36"/>
  <c r="R21" i="36" s="1"/>
  <c r="Q22" i="36"/>
  <c r="R22" i="36" s="1"/>
  <c r="Q23" i="36"/>
  <c r="R23" i="36" s="1"/>
  <c r="Q24" i="36"/>
  <c r="R24" i="36" s="1"/>
  <c r="Q25" i="36"/>
  <c r="R25" i="36" s="1"/>
  <c r="Q26" i="36"/>
  <c r="R26" i="36" s="1"/>
  <c r="Q27" i="36"/>
  <c r="R27" i="36" s="1"/>
  <c r="Q28" i="36"/>
  <c r="R28" i="36" s="1"/>
  <c r="Q29" i="36"/>
  <c r="R29" i="36" s="1"/>
  <c r="Q30" i="36"/>
  <c r="R30" i="36" s="1"/>
  <c r="Q31" i="36"/>
  <c r="R31" i="36" s="1"/>
  <c r="Q32" i="36"/>
  <c r="R32" i="36" s="1"/>
  <c r="Q33" i="36"/>
  <c r="R33" i="36" s="1"/>
  <c r="Q34" i="36"/>
  <c r="R34" i="36" s="1"/>
  <c r="Q35" i="36"/>
  <c r="R35" i="36" s="1"/>
  <c r="Q36" i="36"/>
  <c r="R36" i="36" s="1"/>
  <c r="Q37" i="36"/>
  <c r="R37" i="36" s="1"/>
  <c r="Q38" i="36"/>
  <c r="R38" i="36" s="1"/>
  <c r="Q39" i="36"/>
  <c r="R39" i="36" s="1"/>
  <c r="Q40" i="36"/>
  <c r="R40" i="36" s="1"/>
  <c r="Q41" i="36"/>
  <c r="R41" i="36" s="1"/>
  <c r="Q42" i="36"/>
  <c r="R42" i="36" s="1"/>
  <c r="Q43" i="36"/>
  <c r="R43" i="36" s="1"/>
  <c r="Q44" i="36"/>
  <c r="R44" i="36" s="1"/>
  <c r="Q45" i="36"/>
  <c r="R45" i="36" s="1"/>
  <c r="Q46" i="36"/>
  <c r="R46" i="36" s="1"/>
  <c r="Q47" i="36"/>
  <c r="R47" i="36" s="1"/>
  <c r="Q2" i="36"/>
  <c r="R2" i="36" s="1"/>
  <c r="N3" i="36"/>
  <c r="N4" i="36"/>
  <c r="N5" i="36"/>
  <c r="N6" i="36"/>
  <c r="N7" i="36"/>
  <c r="N8" i="36"/>
  <c r="N9" i="36"/>
  <c r="N10" i="36"/>
  <c r="N11" i="36"/>
  <c r="N12" i="36"/>
  <c r="N13" i="36"/>
  <c r="N14" i="36"/>
  <c r="N15" i="36"/>
  <c r="N16" i="36"/>
  <c r="N17" i="36"/>
  <c r="N18" i="36"/>
  <c r="N19" i="36"/>
  <c r="N20" i="36"/>
  <c r="N21" i="36"/>
  <c r="N22" i="36"/>
  <c r="N23" i="36"/>
  <c r="N24" i="36"/>
  <c r="N25" i="36"/>
  <c r="N26" i="36"/>
  <c r="N27" i="36"/>
  <c r="N28" i="36"/>
  <c r="N29" i="36"/>
  <c r="N30" i="36"/>
  <c r="N31" i="36"/>
  <c r="N32" i="36"/>
  <c r="N33" i="36"/>
  <c r="N34" i="36"/>
  <c r="N35" i="36"/>
  <c r="N36" i="36"/>
  <c r="N37" i="36"/>
  <c r="N38" i="36"/>
  <c r="N39" i="36"/>
  <c r="N40" i="36"/>
  <c r="N41" i="36"/>
  <c r="N42" i="36"/>
  <c r="N43" i="36"/>
  <c r="N44" i="36"/>
  <c r="N45" i="36"/>
  <c r="N46" i="36"/>
  <c r="N47" i="36"/>
  <c r="N2" i="36"/>
  <c r="L3" i="36"/>
  <c r="L4" i="36"/>
  <c r="L5" i="36"/>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2" i="36"/>
  <c r="J3" i="36"/>
  <c r="J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2" i="36"/>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2" i="36"/>
  <c r="F3" i="36"/>
  <c r="F4" i="36"/>
  <c r="F5" i="36"/>
  <c r="F6" i="36"/>
  <c r="F7" i="36"/>
  <c r="F8" i="36"/>
  <c r="F9" i="36"/>
  <c r="F10" i="36"/>
  <c r="F11" i="36"/>
  <c r="F12" i="36"/>
  <c r="F13" i="36"/>
  <c r="F14" i="36"/>
  <c r="F15" i="36"/>
  <c r="F16" i="36"/>
  <c r="F17" i="36"/>
  <c r="F18" i="36"/>
  <c r="F19" i="36"/>
  <c r="F20" i="36"/>
  <c r="F21" i="36"/>
  <c r="F22" i="36"/>
  <c r="F23" i="36"/>
  <c r="F24" i="36"/>
  <c r="F25" i="36"/>
  <c r="F26" i="36"/>
  <c r="F27" i="36"/>
  <c r="F28" i="36"/>
  <c r="F29" i="36"/>
  <c r="F30" i="36"/>
  <c r="F31" i="36"/>
  <c r="F32" i="36"/>
  <c r="F33" i="36"/>
  <c r="F34" i="36"/>
  <c r="F35" i="36"/>
  <c r="F36" i="36"/>
  <c r="F37" i="36"/>
  <c r="F38" i="36"/>
  <c r="F39" i="36"/>
  <c r="F40" i="36"/>
  <c r="F41" i="36"/>
  <c r="F42" i="36"/>
  <c r="F43" i="36"/>
  <c r="F46" i="36"/>
  <c r="F47" i="36"/>
  <c r="D3" i="36"/>
  <c r="D4" i="36"/>
  <c r="D5" i="36"/>
  <c r="D6" i="36"/>
  <c r="D7" i="36"/>
  <c r="D8" i="36"/>
  <c r="D9" i="36"/>
  <c r="D10" i="36"/>
  <c r="D11" i="36"/>
  <c r="D12" i="36"/>
  <c r="D13" i="36"/>
  <c r="D14" i="36"/>
  <c r="D15" i="36"/>
  <c r="D16" i="36"/>
  <c r="D17" i="36"/>
  <c r="D18" i="36"/>
  <c r="D19" i="36"/>
  <c r="D20" i="36"/>
  <c r="D21" i="36"/>
  <c r="D22" i="36"/>
  <c r="D23" i="36"/>
  <c r="D24" i="36"/>
  <c r="D25" i="36"/>
  <c r="D26" i="36"/>
  <c r="D27" i="36"/>
  <c r="D28" i="36"/>
  <c r="D29" i="36"/>
  <c r="D30" i="36"/>
  <c r="D31" i="36"/>
  <c r="D32" i="36"/>
  <c r="D33" i="36"/>
  <c r="D34" i="36"/>
  <c r="D35" i="36"/>
  <c r="D36" i="36"/>
  <c r="D37" i="36"/>
  <c r="D38" i="36"/>
  <c r="D39" i="36"/>
  <c r="D40" i="36"/>
  <c r="D41" i="36"/>
  <c r="D42" i="36"/>
  <c r="D43" i="36"/>
  <c r="D44" i="36"/>
  <c r="D45" i="36"/>
  <c r="D46" i="36"/>
  <c r="D47" i="36"/>
  <c r="D2" i="36"/>
  <c r="Q29" i="34"/>
  <c r="P31" i="34"/>
  <c r="Q31" i="34" s="1"/>
  <c r="P30" i="34"/>
  <c r="Q30" i="34" s="1"/>
  <c r="P28" i="34"/>
  <c r="Q28" i="34" s="1"/>
  <c r="P27" i="34"/>
  <c r="Q27" i="34" s="1"/>
  <c r="P26" i="34"/>
  <c r="Q26" i="34" s="1"/>
  <c r="P25" i="34"/>
  <c r="Q25" i="34" s="1"/>
  <c r="P24" i="34"/>
  <c r="Q24" i="34" s="1"/>
  <c r="P23" i="34"/>
  <c r="Q23" i="34" s="1"/>
  <c r="P22" i="34"/>
  <c r="Q22" i="34" s="1"/>
  <c r="P21" i="34"/>
  <c r="Q21" i="34" s="1"/>
  <c r="P20" i="34"/>
  <c r="Q20" i="34" s="1"/>
  <c r="P19" i="34"/>
  <c r="Q19" i="34" s="1"/>
  <c r="P18" i="34"/>
  <c r="Q18" i="34" s="1"/>
  <c r="P17" i="34"/>
  <c r="Q17" i="34" s="1"/>
  <c r="P16" i="34"/>
  <c r="Q16" i="34" s="1"/>
  <c r="P15" i="34"/>
  <c r="Q15" i="34" s="1"/>
  <c r="P14" i="34"/>
  <c r="Q14" i="34" s="1"/>
  <c r="P13" i="34"/>
  <c r="Q13" i="34" s="1"/>
  <c r="P12" i="34"/>
  <c r="Q12" i="34" s="1"/>
  <c r="P11" i="34"/>
  <c r="Q11" i="34" s="1"/>
  <c r="P10" i="34"/>
  <c r="Q10" i="34" s="1"/>
  <c r="P9" i="34"/>
  <c r="Q9" i="34" s="1"/>
  <c r="P8" i="34"/>
  <c r="Q8" i="34" s="1"/>
  <c r="P7" i="34"/>
  <c r="Q7" i="34" s="1"/>
  <c r="P6" i="34"/>
  <c r="Q6" i="34" s="1"/>
  <c r="P5" i="34"/>
  <c r="Q5" i="34" s="1"/>
  <c r="P4" i="34"/>
  <c r="Q4" i="34" s="1"/>
  <c r="P3" i="34"/>
  <c r="Q3" i="34" s="1"/>
  <c r="P2" i="34"/>
  <c r="Q2" i="34" s="1"/>
  <c r="M2" i="34"/>
  <c r="M3" i="34"/>
  <c r="M4" i="34"/>
  <c r="M5" i="34"/>
  <c r="M6" i="34"/>
  <c r="M7" i="34"/>
  <c r="M8" i="34"/>
  <c r="M9" i="34"/>
  <c r="M10" i="34"/>
  <c r="M11" i="34"/>
  <c r="M12" i="34"/>
  <c r="M13" i="34"/>
  <c r="M14" i="34"/>
  <c r="M15" i="34"/>
  <c r="M16" i="34"/>
  <c r="M17" i="34"/>
  <c r="M18" i="34"/>
  <c r="M19" i="34"/>
  <c r="M20" i="34"/>
  <c r="M21" i="34"/>
  <c r="M22" i="34"/>
  <c r="M23" i="34"/>
  <c r="M24" i="34"/>
  <c r="M25" i="34"/>
  <c r="M26" i="34"/>
  <c r="M27" i="34"/>
  <c r="M28" i="34"/>
  <c r="M29" i="34"/>
  <c r="M30" i="34"/>
  <c r="M31" i="34"/>
  <c r="K31" i="34"/>
  <c r="K30" i="34"/>
  <c r="K29" i="34"/>
  <c r="K28" i="34"/>
  <c r="K27" i="34"/>
  <c r="K26" i="34"/>
  <c r="K25" i="34"/>
  <c r="K24" i="34"/>
  <c r="K23" i="34"/>
  <c r="K22" i="34"/>
  <c r="K21" i="34"/>
  <c r="K20" i="34"/>
  <c r="K19" i="34"/>
  <c r="K18" i="34"/>
  <c r="K17" i="34"/>
  <c r="K16" i="34"/>
  <c r="K15" i="34"/>
  <c r="K14" i="34"/>
  <c r="K13" i="34"/>
  <c r="K12" i="34"/>
  <c r="K11" i="34"/>
  <c r="K10" i="34"/>
  <c r="K9" i="34"/>
  <c r="K8" i="34"/>
  <c r="K7" i="34"/>
  <c r="K6" i="34"/>
  <c r="K5" i="34"/>
  <c r="K4" i="34"/>
  <c r="K3" i="34"/>
  <c r="K2" i="34"/>
  <c r="I31" i="34"/>
  <c r="I30" i="34"/>
  <c r="I29" i="34"/>
  <c r="I28" i="34"/>
  <c r="I27" i="34"/>
  <c r="I26" i="34"/>
  <c r="I25" i="34"/>
  <c r="I24" i="34"/>
  <c r="I23" i="34"/>
  <c r="I22" i="34"/>
  <c r="I21" i="34"/>
  <c r="I20" i="34"/>
  <c r="I19" i="34"/>
  <c r="I18" i="34"/>
  <c r="I17" i="34"/>
  <c r="I16" i="34"/>
  <c r="I15" i="34"/>
  <c r="I14" i="34"/>
  <c r="I13" i="34"/>
  <c r="I12" i="34"/>
  <c r="I11" i="34"/>
  <c r="I10" i="34"/>
  <c r="I9" i="34"/>
  <c r="I8" i="34"/>
  <c r="I7" i="34"/>
  <c r="I6" i="34"/>
  <c r="I5" i="34"/>
  <c r="I4" i="34"/>
  <c r="I3" i="34"/>
  <c r="I2" i="34"/>
  <c r="G31" i="34"/>
  <c r="G30" i="34"/>
  <c r="G29" i="34"/>
  <c r="G28" i="34"/>
  <c r="G27" i="34"/>
  <c r="G26" i="34"/>
  <c r="G25" i="34"/>
  <c r="G24" i="34"/>
  <c r="G23" i="34"/>
  <c r="G22" i="34"/>
  <c r="G21" i="34"/>
  <c r="G20" i="34"/>
  <c r="G19" i="34"/>
  <c r="G18" i="34"/>
  <c r="G17" i="34"/>
  <c r="G16" i="34"/>
  <c r="G15" i="34"/>
  <c r="G14" i="34"/>
  <c r="G13" i="34"/>
  <c r="G12" i="34"/>
  <c r="G11" i="34"/>
  <c r="G10" i="34"/>
  <c r="G9" i="34"/>
  <c r="G8" i="34"/>
  <c r="G7" i="34"/>
  <c r="G6" i="34"/>
  <c r="G5" i="34"/>
  <c r="G4" i="34"/>
  <c r="G3" i="34"/>
  <c r="G2" i="34"/>
  <c r="E31" i="34"/>
  <c r="E30" i="34"/>
  <c r="E29" i="34"/>
  <c r="E28" i="34"/>
  <c r="E27" i="34"/>
  <c r="E26" i="34"/>
  <c r="E25" i="34"/>
  <c r="E24" i="34"/>
  <c r="E23" i="34"/>
  <c r="E22" i="34"/>
  <c r="E21" i="34"/>
  <c r="E20" i="34"/>
  <c r="E19" i="34"/>
  <c r="E18" i="34"/>
  <c r="E17" i="34"/>
  <c r="E16" i="34"/>
  <c r="E15" i="34"/>
  <c r="E14" i="34"/>
  <c r="E13" i="34"/>
  <c r="E12" i="34"/>
  <c r="E11" i="34"/>
  <c r="E10" i="34"/>
  <c r="E9" i="34"/>
  <c r="E8" i="34"/>
  <c r="E7" i="34"/>
  <c r="E6" i="34"/>
  <c r="E5" i="34"/>
  <c r="E4" i="34"/>
  <c r="E3" i="34"/>
  <c r="E2" i="34"/>
  <c r="C31" i="34"/>
  <c r="C30" i="34"/>
  <c r="C29" i="34"/>
  <c r="C28" i="34"/>
  <c r="C27" i="34"/>
  <c r="C26" i="34"/>
  <c r="C25" i="34"/>
  <c r="C24" i="34"/>
  <c r="C23" i="34"/>
  <c r="C22" i="34"/>
  <c r="C21" i="34"/>
  <c r="C20" i="34"/>
  <c r="C19" i="34"/>
  <c r="C18" i="34"/>
  <c r="C17" i="34"/>
  <c r="C16" i="34"/>
  <c r="C15" i="34"/>
  <c r="C14" i="34"/>
  <c r="C13" i="34"/>
  <c r="C12" i="34"/>
  <c r="C11" i="34"/>
  <c r="C10" i="34"/>
  <c r="C9" i="34"/>
  <c r="C8" i="34"/>
  <c r="C7" i="34"/>
  <c r="C6" i="34"/>
  <c r="C5" i="34"/>
  <c r="C4" i="34"/>
  <c r="C3" i="34"/>
  <c r="C2" i="34"/>
  <c r="O43" i="36" l="1"/>
  <c r="O31" i="36"/>
  <c r="O42" i="36"/>
  <c r="O30" i="36"/>
  <c r="O18" i="36"/>
  <c r="O6" i="36"/>
  <c r="O41" i="36"/>
  <c r="O29" i="36"/>
  <c r="O17" i="36"/>
  <c r="O5" i="36"/>
  <c r="O40" i="36"/>
  <c r="O28" i="36"/>
  <c r="O16" i="36"/>
  <c r="O4" i="36"/>
  <c r="O39" i="36"/>
  <c r="O27" i="36"/>
  <c r="O15" i="36"/>
  <c r="O3" i="36"/>
  <c r="K42" i="36"/>
  <c r="M40" i="36"/>
  <c r="O38" i="36"/>
  <c r="O26" i="36"/>
  <c r="O14" i="36"/>
  <c r="O37" i="36"/>
  <c r="O25" i="36"/>
  <c r="O13" i="36"/>
  <c r="O7" i="36"/>
  <c r="O2" i="36"/>
  <c r="O36" i="36"/>
  <c r="O24" i="36"/>
  <c r="O12" i="36"/>
  <c r="O47" i="36"/>
  <c r="O35" i="36"/>
  <c r="O23" i="36"/>
  <c r="O11" i="36"/>
  <c r="O46" i="36"/>
  <c r="O34" i="36"/>
  <c r="O22" i="36"/>
  <c r="O10" i="36"/>
  <c r="O45" i="36"/>
  <c r="O33" i="36"/>
  <c r="O21" i="36"/>
  <c r="O9" i="36"/>
  <c r="O19" i="36"/>
  <c r="O44" i="36"/>
  <c r="O32" i="36"/>
  <c r="O20" i="36"/>
  <c r="O8" i="36"/>
  <c r="M28" i="36"/>
  <c r="M4" i="36"/>
  <c r="M39" i="36"/>
  <c r="M27" i="36"/>
  <c r="M15" i="36"/>
  <c r="M3" i="36"/>
  <c r="K30" i="36"/>
  <c r="M16" i="36"/>
  <c r="K18" i="36"/>
  <c r="M2" i="36"/>
  <c r="M36" i="36"/>
  <c r="M24" i="36"/>
  <c r="M12" i="36"/>
  <c r="M47" i="36"/>
  <c r="M35" i="36"/>
  <c r="M23" i="36"/>
  <c r="M11" i="36"/>
  <c r="M46" i="36"/>
  <c r="M34" i="36"/>
  <c r="M22" i="36"/>
  <c r="M10" i="36"/>
  <c r="M45" i="36"/>
  <c r="M33" i="36"/>
  <c r="M21" i="36"/>
  <c r="M9" i="36"/>
  <c r="M44" i="36"/>
  <c r="M32" i="36"/>
  <c r="M20" i="36"/>
  <c r="M8" i="36"/>
  <c r="M43" i="36"/>
  <c r="M31" i="36"/>
  <c r="M19" i="36"/>
  <c r="M7" i="36"/>
  <c r="M42" i="36"/>
  <c r="M30" i="36"/>
  <c r="M18" i="36"/>
  <c r="M6" i="36"/>
  <c r="M41" i="36"/>
  <c r="M29" i="36"/>
  <c r="M17" i="36"/>
  <c r="M5" i="36"/>
  <c r="M13" i="36"/>
  <c r="K40" i="36"/>
  <c r="K28" i="36"/>
  <c r="K16" i="36"/>
  <c r="K4" i="36"/>
  <c r="M25" i="36"/>
  <c r="K39" i="36"/>
  <c r="K27" i="36"/>
  <c r="K15" i="36"/>
  <c r="K3" i="36"/>
  <c r="K17" i="36"/>
  <c r="M37" i="36"/>
  <c r="M38" i="36"/>
  <c r="K37" i="36"/>
  <c r="K25" i="36"/>
  <c r="K13" i="36"/>
  <c r="K6" i="36"/>
  <c r="M14" i="36"/>
  <c r="I39" i="36"/>
  <c r="K2" i="36"/>
  <c r="K36" i="36"/>
  <c r="K24" i="36"/>
  <c r="K12" i="36"/>
  <c r="K5" i="36"/>
  <c r="K47" i="36"/>
  <c r="K35" i="36"/>
  <c r="K23" i="36"/>
  <c r="K11" i="36"/>
  <c r="K46" i="36"/>
  <c r="K34" i="36"/>
  <c r="K22" i="36"/>
  <c r="K10" i="36"/>
  <c r="K29" i="36"/>
  <c r="K45" i="36"/>
  <c r="K33" i="36"/>
  <c r="K21" i="36"/>
  <c r="K9" i="36"/>
  <c r="M26" i="36"/>
  <c r="K41" i="36"/>
  <c r="K44" i="36"/>
  <c r="K32" i="36"/>
  <c r="K20" i="36"/>
  <c r="K8" i="36"/>
  <c r="K43" i="36"/>
  <c r="K31" i="36"/>
  <c r="K19" i="36"/>
  <c r="K7" i="36"/>
  <c r="I8" i="36"/>
  <c r="K26" i="36"/>
  <c r="I43" i="36"/>
  <c r="I19" i="36"/>
  <c r="I42" i="36"/>
  <c r="I30" i="36"/>
  <c r="I18" i="36"/>
  <c r="I6" i="36"/>
  <c r="I44" i="36"/>
  <c r="I20" i="36"/>
  <c r="K14" i="36"/>
  <c r="I31" i="36"/>
  <c r="I41" i="36"/>
  <c r="I29" i="36"/>
  <c r="I17" i="36"/>
  <c r="I5" i="36"/>
  <c r="I32" i="36"/>
  <c r="K38" i="36"/>
  <c r="I7" i="36"/>
  <c r="I40" i="36"/>
  <c r="I28" i="36"/>
  <c r="I16" i="36"/>
  <c r="I4" i="36"/>
  <c r="I3" i="36"/>
  <c r="I27" i="36"/>
  <c r="I15" i="36"/>
  <c r="I34" i="36"/>
  <c r="I36" i="36"/>
  <c r="I24" i="36"/>
  <c r="I12" i="36"/>
  <c r="I35" i="36"/>
  <c r="I11" i="36"/>
  <c r="I47" i="36"/>
  <c r="I23" i="36"/>
  <c r="I45" i="36"/>
  <c r="I33" i="36"/>
  <c r="I21" i="36"/>
  <c r="I14" i="36"/>
  <c r="I25" i="36"/>
  <c r="I2" i="36"/>
  <c r="I26" i="36"/>
  <c r="I37" i="36"/>
  <c r="I13" i="36"/>
  <c r="I10" i="36"/>
  <c r="I9" i="36"/>
  <c r="I38" i="36"/>
  <c r="I46" i="36"/>
  <c r="I22" i="36"/>
  <c r="G16" i="36"/>
  <c r="G12" i="36"/>
  <c r="G5" i="36"/>
  <c r="G11" i="36"/>
  <c r="G23" i="36"/>
  <c r="G47" i="36"/>
  <c r="G34" i="36"/>
  <c r="G22" i="36"/>
  <c r="G10" i="36"/>
  <c r="G36" i="36"/>
  <c r="G46" i="36"/>
  <c r="G44" i="36"/>
  <c r="G32" i="36"/>
  <c r="G20" i="36"/>
  <c r="G8" i="36"/>
  <c r="G24" i="36"/>
  <c r="G35" i="36"/>
  <c r="G43" i="36"/>
  <c r="G31" i="36"/>
  <c r="G19" i="36"/>
  <c r="G7" i="36"/>
  <c r="G40" i="36"/>
  <c r="G28" i="36"/>
  <c r="G39" i="36"/>
  <c r="G27" i="36"/>
  <c r="G15" i="36"/>
  <c r="G3" i="36"/>
  <c r="G4" i="36"/>
  <c r="G37" i="36"/>
  <c r="G25" i="36"/>
  <c r="G13" i="36"/>
  <c r="G9" i="36"/>
  <c r="E23" i="36"/>
  <c r="G14" i="36"/>
  <c r="E42" i="36"/>
  <c r="E30" i="36"/>
  <c r="E18" i="36"/>
  <c r="E6" i="36"/>
  <c r="G21" i="36"/>
  <c r="E11" i="36"/>
  <c r="E45" i="36"/>
  <c r="E7" i="36"/>
  <c r="G26" i="36"/>
  <c r="E41" i="36"/>
  <c r="E29" i="36"/>
  <c r="E17" i="36"/>
  <c r="E5" i="36"/>
  <c r="G2" i="36"/>
  <c r="G33" i="36"/>
  <c r="E21" i="36"/>
  <c r="E43" i="36"/>
  <c r="E31" i="36"/>
  <c r="E19" i="36"/>
  <c r="G38" i="36"/>
  <c r="E40" i="36"/>
  <c r="E28" i="36"/>
  <c r="E16" i="36"/>
  <c r="E4" i="36"/>
  <c r="E37" i="36"/>
  <c r="E35" i="36"/>
  <c r="E33" i="36"/>
  <c r="E39" i="36"/>
  <c r="E27" i="36"/>
  <c r="E15" i="36"/>
  <c r="E3" i="36"/>
  <c r="E25" i="36"/>
  <c r="E13" i="36"/>
  <c r="E14" i="36"/>
  <c r="E36" i="36"/>
  <c r="E24" i="36"/>
  <c r="E12" i="36"/>
  <c r="G45" i="36"/>
  <c r="E47" i="36"/>
  <c r="G42" i="36"/>
  <c r="G30" i="36"/>
  <c r="G18" i="36"/>
  <c r="G6" i="36"/>
  <c r="E46" i="36"/>
  <c r="E34" i="36"/>
  <c r="E22" i="36"/>
  <c r="E10" i="36"/>
  <c r="G41" i="36"/>
  <c r="G29" i="36"/>
  <c r="G17" i="36"/>
  <c r="E9" i="36"/>
  <c r="E44" i="36"/>
  <c r="E32" i="36"/>
  <c r="E20" i="36"/>
  <c r="E8" i="36"/>
  <c r="E38" i="36"/>
  <c r="E26" i="36"/>
  <c r="E2" i="36"/>
  <c r="N28" i="34"/>
  <c r="N16" i="34"/>
  <c r="N4" i="34"/>
  <c r="N27" i="34"/>
  <c r="N3" i="34"/>
  <c r="N8" i="34"/>
  <c r="N31" i="34"/>
  <c r="N23" i="34"/>
  <c r="N30" i="34"/>
  <c r="N18" i="34"/>
  <c r="N6" i="34"/>
  <c r="N15" i="34"/>
  <c r="L5" i="34"/>
  <c r="N22" i="34"/>
  <c r="N10" i="34"/>
  <c r="N21" i="34"/>
  <c r="N9" i="34"/>
  <c r="N20" i="34"/>
  <c r="N19" i="34"/>
  <c r="N29" i="34"/>
  <c r="N17" i="34"/>
  <c r="N5" i="34"/>
  <c r="N14" i="34"/>
  <c r="L18" i="34"/>
  <c r="N25" i="34"/>
  <c r="N24" i="34"/>
  <c r="N11" i="34"/>
  <c r="L9" i="34"/>
  <c r="L11" i="34"/>
  <c r="N2" i="34"/>
  <c r="N7" i="34"/>
  <c r="L29" i="34"/>
  <c r="N26" i="34"/>
  <c r="N13" i="34"/>
  <c r="N12" i="34"/>
  <c r="L17" i="34"/>
  <c r="L30" i="34"/>
  <c r="L7" i="34"/>
  <c r="L19" i="34"/>
  <c r="L31" i="34"/>
  <c r="L8" i="34"/>
  <c r="L12" i="34"/>
  <c r="L24" i="34"/>
  <c r="L13" i="34"/>
  <c r="L25" i="34"/>
  <c r="L14" i="34"/>
  <c r="L16" i="34"/>
  <c r="L28" i="34"/>
  <c r="L23" i="34"/>
  <c r="L21" i="34"/>
  <c r="L3" i="34"/>
  <c r="L20" i="34"/>
  <c r="J4" i="34"/>
  <c r="L2" i="34"/>
  <c r="L22" i="34"/>
  <c r="L4" i="34"/>
  <c r="L6" i="34"/>
  <c r="L10" i="34"/>
  <c r="L27" i="34"/>
  <c r="L15" i="34"/>
  <c r="L26" i="34"/>
  <c r="J16" i="34"/>
  <c r="J5" i="34"/>
  <c r="J11" i="34"/>
  <c r="J23" i="34"/>
  <c r="J10" i="34"/>
  <c r="J22" i="34"/>
  <c r="J28" i="34"/>
  <c r="J29" i="34"/>
  <c r="J25" i="34"/>
  <c r="J30" i="34"/>
  <c r="J17" i="34"/>
  <c r="J21" i="34"/>
  <c r="J3" i="34"/>
  <c r="J15" i="34"/>
  <c r="J27" i="34"/>
  <c r="J14" i="34"/>
  <c r="J24" i="34"/>
  <c r="J8" i="34"/>
  <c r="J31" i="34"/>
  <c r="J19" i="34"/>
  <c r="J6" i="34"/>
  <c r="J13" i="34"/>
  <c r="J12" i="34"/>
  <c r="J9" i="34"/>
  <c r="J20" i="34"/>
  <c r="J7" i="34"/>
  <c r="J18" i="34"/>
  <c r="J26" i="34"/>
  <c r="J2" i="34"/>
  <c r="H11" i="34"/>
  <c r="H3" i="34"/>
  <c r="H6" i="34"/>
  <c r="H7" i="34"/>
  <c r="H31" i="34"/>
  <c r="H20" i="34"/>
  <c r="H10" i="34"/>
  <c r="H22" i="34"/>
  <c r="H4" i="34"/>
  <c r="H5" i="34"/>
  <c r="H15" i="34"/>
  <c r="H27" i="34"/>
  <c r="H16" i="34"/>
  <c r="H17" i="34"/>
  <c r="H19" i="34"/>
  <c r="H28" i="34"/>
  <c r="H29" i="34"/>
  <c r="H18" i="34"/>
  <c r="H30" i="34"/>
  <c r="H8" i="34"/>
  <c r="D13" i="34"/>
  <c r="F7" i="34"/>
  <c r="H13" i="34"/>
  <c r="H25" i="34"/>
  <c r="D25" i="34"/>
  <c r="H26" i="34"/>
  <c r="H23" i="34"/>
  <c r="H21" i="34"/>
  <c r="H9" i="34"/>
  <c r="H2" i="34"/>
  <c r="F31" i="34"/>
  <c r="H14" i="34"/>
  <c r="F20" i="34"/>
  <c r="H12" i="34"/>
  <c r="F5" i="34"/>
  <c r="F3" i="34"/>
  <c r="F15" i="34"/>
  <c r="F27" i="34"/>
  <c r="F8" i="34"/>
  <c r="F21" i="34"/>
  <c r="H24" i="34"/>
  <c r="F10" i="34"/>
  <c r="F22" i="34"/>
  <c r="F16" i="34"/>
  <c r="F28" i="34"/>
  <c r="F19" i="34"/>
  <c r="F9" i="34"/>
  <c r="F4" i="34"/>
  <c r="F14" i="34"/>
  <c r="D14" i="34"/>
  <c r="F25" i="34"/>
  <c r="D3" i="34"/>
  <c r="D27" i="34"/>
  <c r="F24" i="34"/>
  <c r="D4" i="34"/>
  <c r="D28" i="34"/>
  <c r="F23" i="34"/>
  <c r="D5" i="34"/>
  <c r="D18" i="34"/>
  <c r="D7" i="34"/>
  <c r="D31" i="34"/>
  <c r="D20" i="34"/>
  <c r="D9" i="34"/>
  <c r="F18" i="34"/>
  <c r="F17" i="34"/>
  <c r="D11" i="34"/>
  <c r="D23" i="34"/>
  <c r="F26" i="34"/>
  <c r="D10" i="34"/>
  <c r="D26" i="34"/>
  <c r="F13" i="34"/>
  <c r="D15" i="34"/>
  <c r="F12" i="34"/>
  <c r="D16" i="34"/>
  <c r="F11" i="34"/>
  <c r="D17" i="34"/>
  <c r="D29" i="34"/>
  <c r="D6" i="34"/>
  <c r="D30" i="34"/>
  <c r="D19" i="34"/>
  <c r="F2" i="34"/>
  <c r="D8" i="34"/>
  <c r="D21" i="34"/>
  <c r="R21" i="34" s="1"/>
  <c r="F30" i="34"/>
  <c r="F6" i="34"/>
  <c r="F29" i="34"/>
  <c r="D12" i="34"/>
  <c r="D24" i="34"/>
  <c r="D2" i="34"/>
  <c r="D22" i="34"/>
  <c r="S32" i="36" l="1"/>
  <c r="T23" i="9" s="1"/>
  <c r="S10" i="36"/>
  <c r="U5" i="1" s="1"/>
  <c r="S20" i="36"/>
  <c r="T15" i="9" s="1"/>
  <c r="S15" i="36"/>
  <c r="T13" i="9" s="1"/>
  <c r="S31" i="36"/>
  <c r="U11" i="1" s="1"/>
  <c r="S27" i="36"/>
  <c r="T20" i="9" s="1"/>
  <c r="S43" i="36"/>
  <c r="U15" i="1" s="1"/>
  <c r="S9" i="36"/>
  <c r="T7" i="9" s="1"/>
  <c r="S47" i="36"/>
  <c r="T31" i="9" s="1"/>
  <c r="S11" i="36"/>
  <c r="T8" i="9" s="1"/>
  <c r="S12" i="36"/>
  <c r="T9" i="9" s="1"/>
  <c r="S33" i="36"/>
  <c r="T24" i="9" s="1"/>
  <c r="S37" i="36"/>
  <c r="T27" i="9" s="1"/>
  <c r="S42" i="36"/>
  <c r="U14" i="1" s="1"/>
  <c r="S16" i="36"/>
  <c r="U6" i="1" s="1"/>
  <c r="S17" i="36"/>
  <c r="U7" i="1" s="1"/>
  <c r="S23" i="36"/>
  <c r="T17" i="9" s="1"/>
  <c r="S2" i="36"/>
  <c r="U2" i="1" s="1"/>
  <c r="S22" i="36"/>
  <c r="T16" i="9" s="1"/>
  <c r="S14" i="36"/>
  <c r="T12" i="9" s="1"/>
  <c r="S28" i="36"/>
  <c r="T4" i="9" s="1"/>
  <c r="S41" i="36"/>
  <c r="T11" i="9" s="1"/>
  <c r="S34" i="36"/>
  <c r="T25" i="9" s="1"/>
  <c r="S40" i="36"/>
  <c r="U13" i="1" s="1"/>
  <c r="S4" i="36"/>
  <c r="U3" i="1" s="1"/>
  <c r="S36" i="36"/>
  <c r="T26" i="9" s="1"/>
  <c r="S13" i="36"/>
  <c r="T10" i="9" s="1"/>
  <c r="S38" i="36"/>
  <c r="T30" i="9" s="1"/>
  <c r="S46" i="36"/>
  <c r="U17" i="1" s="1"/>
  <c r="S25" i="36"/>
  <c r="T19" i="9" s="1"/>
  <c r="S7" i="36"/>
  <c r="T6" i="9" s="1"/>
  <c r="S24" i="36"/>
  <c r="T18" i="9" s="1"/>
  <c r="S29" i="36"/>
  <c r="T21" i="9" s="1"/>
  <c r="S26" i="36"/>
  <c r="U10" i="1" s="1"/>
  <c r="S8" i="36"/>
  <c r="U4" i="1" s="1"/>
  <c r="S3" i="36"/>
  <c r="T2" i="9" s="1"/>
  <c r="S19" i="36"/>
  <c r="T14" i="9" s="1"/>
  <c r="S45" i="36"/>
  <c r="T29" i="9" s="1"/>
  <c r="S44" i="36"/>
  <c r="U16" i="1" s="1"/>
  <c r="S39" i="36"/>
  <c r="T28" i="9" s="1"/>
  <c r="S21" i="36"/>
  <c r="U9" i="1" s="1"/>
  <c r="S6" i="36"/>
  <c r="T5" i="9" s="1"/>
  <c r="S18" i="36"/>
  <c r="U8" i="1" s="1"/>
  <c r="S35" i="36"/>
  <c r="U12" i="1" s="1"/>
  <c r="S30" i="36"/>
  <c r="T22" i="9" s="1"/>
  <c r="S5" i="36"/>
  <c r="T3" i="9" s="1"/>
  <c r="R27" i="34"/>
  <c r="R29" i="34"/>
  <c r="R24" i="34"/>
  <c r="R31" i="34"/>
  <c r="R18" i="34"/>
  <c r="S18" i="9" s="1"/>
  <c r="R7" i="34"/>
  <c r="S7" i="9" s="1"/>
  <c r="R8" i="34"/>
  <c r="S8" i="9" s="1"/>
  <c r="R26" i="34"/>
  <c r="S26" i="9" s="1"/>
  <c r="R25" i="34"/>
  <c r="R10" i="34"/>
  <c r="R28" i="34"/>
  <c r="R23" i="34"/>
  <c r="R2" i="34"/>
  <c r="R17" i="34"/>
  <c r="R3" i="34"/>
  <c r="R5" i="34"/>
  <c r="S5" i="9" s="1"/>
  <c r="R12" i="34"/>
  <c r="S12" i="9" s="1"/>
  <c r="R9" i="34"/>
  <c r="S9" i="9" s="1"/>
  <c r="R30" i="34"/>
  <c r="S30" i="9" s="1"/>
  <c r="R16" i="34"/>
  <c r="S16" i="9" s="1"/>
  <c r="R20" i="34"/>
  <c r="R14" i="34"/>
  <c r="R13" i="34"/>
  <c r="R15" i="34"/>
  <c r="R19" i="34"/>
  <c r="R4" i="34"/>
  <c r="R22" i="34"/>
  <c r="S22" i="9" s="1"/>
  <c r="R6" i="34"/>
  <c r="S6" i="9" s="1"/>
  <c r="R11" i="34"/>
  <c r="S11" i="9" s="1"/>
  <c r="S29" i="9"/>
  <c r="S27" i="9"/>
  <c r="S23" i="9"/>
  <c r="S4" i="9"/>
  <c r="S17" i="9"/>
  <c r="S14" i="9"/>
  <c r="S15" i="9"/>
  <c r="S21" i="9"/>
  <c r="S10" i="9"/>
  <c r="S13" i="9"/>
  <c r="S2" i="9"/>
  <c r="S24" i="9"/>
  <c r="S3" i="9"/>
  <c r="S20" i="9"/>
  <c r="S31" i="9"/>
  <c r="S25" i="9"/>
  <c r="S19" i="9"/>
  <c r="S28" i="9"/>
  <c r="R3" i="9"/>
  <c r="R4" i="9"/>
  <c r="R5" i="9"/>
  <c r="R6" i="9"/>
  <c r="R7" i="9"/>
  <c r="R8" i="9"/>
  <c r="R9" i="9"/>
  <c r="R10" i="9"/>
  <c r="R11" i="9"/>
  <c r="R12" i="9"/>
  <c r="R13" i="9"/>
  <c r="R14" i="9"/>
  <c r="R15" i="9"/>
  <c r="R16" i="9"/>
  <c r="R17" i="9"/>
  <c r="R18" i="9"/>
  <c r="R19" i="9"/>
  <c r="R20" i="9"/>
  <c r="R21" i="9"/>
  <c r="R22" i="9"/>
  <c r="R23" i="9"/>
  <c r="R24" i="9"/>
  <c r="R25" i="9"/>
  <c r="R26" i="9"/>
  <c r="R27" i="9"/>
  <c r="R28" i="9"/>
  <c r="R29" i="9"/>
  <c r="R30" i="9"/>
  <c r="R31" i="9"/>
  <c r="R2" i="9"/>
  <c r="E2" i="17"/>
  <c r="E3" i="17"/>
  <c r="E4" i="17"/>
  <c r="E5" i="17"/>
  <c r="E6" i="17"/>
  <c r="E7" i="17"/>
  <c r="E8" i="17"/>
  <c r="E9" i="17"/>
  <c r="E10" i="17"/>
  <c r="E11" i="17"/>
  <c r="E12" i="17"/>
  <c r="E13" i="17"/>
  <c r="E14" i="17"/>
  <c r="E15" i="17"/>
  <c r="E16" i="17"/>
  <c r="E17" i="17"/>
  <c r="E18" i="17"/>
  <c r="E19" i="17"/>
  <c r="E20" i="17"/>
  <c r="E21" i="17"/>
  <c r="E22" i="17"/>
  <c r="E23" i="17"/>
  <c r="E24" i="17"/>
  <c r="E25" i="17"/>
  <c r="E26" i="17"/>
  <c r="E27" i="17"/>
  <c r="E28" i="17"/>
  <c r="E29" i="17"/>
  <c r="E30" i="17"/>
  <c r="E31" i="17"/>
  <c r="K2" i="1"/>
  <c r="J2" i="1"/>
  <c r="J17" i="1"/>
  <c r="G12" i="1"/>
  <c r="Q26" i="9"/>
  <c r="C3" i="17"/>
  <c r="Q21" i="9" s="1"/>
  <c r="C4" i="17"/>
  <c r="Q15" i="9" s="1"/>
  <c r="C5" i="17"/>
  <c r="Q3" i="9" s="1"/>
  <c r="C6" i="17"/>
  <c r="Q14" i="9" s="1"/>
  <c r="C7" i="17"/>
  <c r="Q6" i="9" s="1"/>
  <c r="C8" i="17"/>
  <c r="Q12" i="9" s="1"/>
  <c r="C9" i="17"/>
  <c r="Q4" i="9" s="1"/>
  <c r="C10" i="17"/>
  <c r="Q8" i="9" s="1"/>
  <c r="C11" i="17"/>
  <c r="Q24" i="9" s="1"/>
  <c r="C12" i="17"/>
  <c r="Q29" i="9" s="1"/>
  <c r="C13" i="17"/>
  <c r="Q25" i="9" s="1"/>
  <c r="C14" i="17"/>
  <c r="Q17" i="9" s="1"/>
  <c r="C15" i="17"/>
  <c r="Q31" i="9" s="1"/>
  <c r="C16" i="17"/>
  <c r="Q18" i="9" s="1"/>
  <c r="C17" i="17"/>
  <c r="Q7" i="9" s="1"/>
  <c r="C18" i="17"/>
  <c r="Q9" i="9" s="1"/>
  <c r="C19" i="17"/>
  <c r="Q28" i="9" s="1"/>
  <c r="C20" i="17"/>
  <c r="Q2" i="9" s="1"/>
  <c r="C21" i="17"/>
  <c r="Q27" i="9" s="1"/>
  <c r="C22" i="17"/>
  <c r="Q22" i="9" s="1"/>
  <c r="C23" i="17"/>
  <c r="Q13" i="9" s="1"/>
  <c r="C24" i="17"/>
  <c r="Q30" i="9" s="1"/>
  <c r="C25" i="17"/>
  <c r="C26" i="17"/>
  <c r="Q10" i="9" s="1"/>
  <c r="C27" i="17"/>
  <c r="Q5" i="9" s="1"/>
  <c r="C28" i="17"/>
  <c r="Q23" i="9" s="1"/>
  <c r="C29" i="17"/>
  <c r="Q19" i="9" s="1"/>
  <c r="C30" i="17"/>
  <c r="Q20" i="9" s="1"/>
  <c r="C31" i="17"/>
  <c r="Q16" i="9" s="1"/>
  <c r="C2" i="17"/>
  <c r="Q11" i="9" s="1"/>
  <c r="G2"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2" i="1"/>
  <c r="Q17" i="20"/>
  <c r="R17" i="20" s="1"/>
  <c r="Q16" i="20"/>
  <c r="R16" i="20" s="1"/>
  <c r="Q15" i="20"/>
  <c r="R15" i="20" s="1"/>
  <c r="Q14" i="20"/>
  <c r="R14" i="20" s="1"/>
  <c r="Q13" i="20"/>
  <c r="R13" i="20" s="1"/>
  <c r="Q12" i="20"/>
  <c r="R12" i="20" s="1"/>
  <c r="Q11" i="20"/>
  <c r="R11" i="20" s="1"/>
  <c r="Q10" i="20"/>
  <c r="R10" i="20" s="1"/>
  <c r="Q9" i="20"/>
  <c r="R9" i="20" s="1"/>
  <c r="Q8" i="20"/>
  <c r="R8" i="20" s="1"/>
  <c r="Q7" i="20"/>
  <c r="R7" i="20" s="1"/>
  <c r="Q6" i="20"/>
  <c r="R6" i="20" s="1"/>
  <c r="Q5" i="20"/>
  <c r="R5" i="20" s="1"/>
  <c r="Q4" i="20"/>
  <c r="R4" i="20" s="1"/>
  <c r="Q3" i="20"/>
  <c r="R3" i="20" s="1"/>
  <c r="Q2" i="20"/>
  <c r="R2" i="20" s="1"/>
  <c r="O17" i="20"/>
  <c r="P17" i="20" s="1"/>
  <c r="O16" i="20"/>
  <c r="P16" i="20" s="1"/>
  <c r="O15" i="20"/>
  <c r="P15" i="20" s="1"/>
  <c r="O14" i="20"/>
  <c r="P14" i="20" s="1"/>
  <c r="O13" i="20"/>
  <c r="P13" i="20" s="1"/>
  <c r="O12" i="20"/>
  <c r="P12" i="20" s="1"/>
  <c r="O11" i="20"/>
  <c r="P11" i="20" s="1"/>
  <c r="O10" i="20"/>
  <c r="P10" i="20" s="1"/>
  <c r="O9" i="20"/>
  <c r="P9" i="20" s="1"/>
  <c r="O8" i="20"/>
  <c r="P8" i="20" s="1"/>
  <c r="O7" i="20"/>
  <c r="P7" i="20" s="1"/>
  <c r="O6" i="20"/>
  <c r="P6" i="20" s="1"/>
  <c r="O5" i="20"/>
  <c r="P5" i="20" s="1"/>
  <c r="O4" i="20"/>
  <c r="P4" i="20" s="1"/>
  <c r="O3" i="20"/>
  <c r="P3" i="20" s="1"/>
  <c r="O2" i="20"/>
  <c r="P2" i="20" s="1"/>
  <c r="M17" i="20"/>
  <c r="M16" i="20"/>
  <c r="M15" i="20"/>
  <c r="M14" i="20"/>
  <c r="M13" i="20"/>
  <c r="M12" i="20"/>
  <c r="M11" i="20"/>
  <c r="M10" i="20"/>
  <c r="M9" i="20"/>
  <c r="M8" i="20"/>
  <c r="M7" i="20"/>
  <c r="M6" i="20"/>
  <c r="M5" i="20"/>
  <c r="M4" i="20"/>
  <c r="M3" i="20"/>
  <c r="M2" i="20"/>
  <c r="K17" i="20"/>
  <c r="K16" i="20"/>
  <c r="K15" i="20"/>
  <c r="K14" i="20"/>
  <c r="K13" i="20"/>
  <c r="K12" i="20"/>
  <c r="K11" i="20"/>
  <c r="K10" i="20"/>
  <c r="K9" i="20"/>
  <c r="K8" i="20"/>
  <c r="K7" i="20"/>
  <c r="K6" i="20"/>
  <c r="K5" i="20"/>
  <c r="K4" i="20"/>
  <c r="K3" i="20"/>
  <c r="K2" i="20"/>
  <c r="I17" i="20"/>
  <c r="I16" i="20"/>
  <c r="I15" i="20"/>
  <c r="I14" i="20"/>
  <c r="I13" i="20"/>
  <c r="I12" i="20"/>
  <c r="I11" i="20"/>
  <c r="I10" i="20"/>
  <c r="I9" i="20"/>
  <c r="I8" i="20"/>
  <c r="I7" i="20"/>
  <c r="I6" i="20"/>
  <c r="I5" i="20"/>
  <c r="I4" i="20"/>
  <c r="I3" i="20"/>
  <c r="I2" i="20"/>
  <c r="G17" i="20"/>
  <c r="G16" i="20"/>
  <c r="G15" i="20"/>
  <c r="G14" i="20"/>
  <c r="G13" i="20"/>
  <c r="G12" i="20"/>
  <c r="G11" i="20"/>
  <c r="G10" i="20"/>
  <c r="G9" i="20"/>
  <c r="G8" i="20"/>
  <c r="G7" i="20"/>
  <c r="G6" i="20"/>
  <c r="G5" i="20"/>
  <c r="G4" i="20"/>
  <c r="G3" i="20"/>
  <c r="G2" i="20"/>
  <c r="E12" i="20"/>
  <c r="E2" i="20"/>
  <c r="E17" i="20"/>
  <c r="E16" i="20"/>
  <c r="E15" i="20"/>
  <c r="E14" i="20"/>
  <c r="E13" i="20"/>
  <c r="E11" i="20"/>
  <c r="E10" i="20"/>
  <c r="E9" i="20"/>
  <c r="E8" i="20"/>
  <c r="E7" i="20"/>
  <c r="E6" i="20"/>
  <c r="E5" i="20"/>
  <c r="E4" i="20"/>
  <c r="E3" i="20"/>
  <c r="C17" i="20"/>
  <c r="C16" i="20"/>
  <c r="C15" i="20"/>
  <c r="C14" i="20"/>
  <c r="C13" i="20"/>
  <c r="C12" i="20"/>
  <c r="C11" i="20"/>
  <c r="C10" i="20"/>
  <c r="C9" i="20"/>
  <c r="C8" i="20"/>
  <c r="C7" i="20"/>
  <c r="C6" i="20"/>
  <c r="C5" i="20"/>
  <c r="C4" i="20"/>
  <c r="C3" i="20"/>
  <c r="C2" i="20"/>
  <c r="L29" i="9"/>
  <c r="L2" i="9"/>
  <c r="L3" i="9"/>
  <c r="L4" i="9"/>
  <c r="L5" i="9"/>
  <c r="L6" i="9"/>
  <c r="L7" i="9"/>
  <c r="L8" i="9"/>
  <c r="L9" i="9"/>
  <c r="L10" i="9"/>
  <c r="L11" i="9"/>
  <c r="L12" i="9"/>
  <c r="L13" i="9"/>
  <c r="L14" i="9"/>
  <c r="L15" i="9"/>
  <c r="L16" i="9"/>
  <c r="L17" i="9"/>
  <c r="L18" i="9"/>
  <c r="L19" i="9"/>
  <c r="L20" i="9"/>
  <c r="L21" i="9"/>
  <c r="L22" i="9"/>
  <c r="L23" i="9"/>
  <c r="L24" i="9"/>
  <c r="L25" i="9"/>
  <c r="L26" i="9"/>
  <c r="L27" i="9"/>
  <c r="L28" i="9"/>
  <c r="L30" i="9"/>
  <c r="L31" i="9"/>
  <c r="L2" i="1"/>
  <c r="L3" i="1"/>
  <c r="L4" i="1"/>
  <c r="L5" i="1"/>
  <c r="L6" i="1"/>
  <c r="L7" i="1"/>
  <c r="L8" i="1"/>
  <c r="L9" i="1"/>
  <c r="L10" i="1"/>
  <c r="L11" i="1"/>
  <c r="L12" i="1"/>
  <c r="L13" i="1"/>
  <c r="L14" i="1"/>
  <c r="L15" i="1"/>
  <c r="L16" i="1"/>
  <c r="L17" i="1"/>
  <c r="H2" i="9"/>
  <c r="H3" i="9"/>
  <c r="H4" i="9"/>
  <c r="H5" i="9"/>
  <c r="H6" i="9"/>
  <c r="H7" i="9"/>
  <c r="H8" i="9"/>
  <c r="H9" i="9"/>
  <c r="H10" i="9"/>
  <c r="H11" i="9"/>
  <c r="H12" i="9"/>
  <c r="H13" i="9"/>
  <c r="H14" i="9"/>
  <c r="H15" i="9"/>
  <c r="H16" i="9"/>
  <c r="H17" i="9"/>
  <c r="H18" i="9"/>
  <c r="H19" i="9"/>
  <c r="H20" i="9"/>
  <c r="H21" i="9"/>
  <c r="H22" i="9"/>
  <c r="H23" i="9"/>
  <c r="H24" i="9"/>
  <c r="H25" i="9"/>
  <c r="H26" i="9"/>
  <c r="H27" i="9"/>
  <c r="H28" i="9"/>
  <c r="H29" i="9"/>
  <c r="H30" i="9"/>
  <c r="H31" i="9"/>
  <c r="H2" i="1"/>
  <c r="H3" i="1"/>
  <c r="H4" i="1"/>
  <c r="H5" i="1"/>
  <c r="H6" i="1"/>
  <c r="H7" i="1"/>
  <c r="H8" i="1"/>
  <c r="H9" i="1"/>
  <c r="H10" i="1"/>
  <c r="H11" i="1"/>
  <c r="H12" i="1"/>
  <c r="H13" i="1"/>
  <c r="H14" i="1"/>
  <c r="H15" i="1"/>
  <c r="H16" i="1"/>
  <c r="H17" i="1"/>
  <c r="J29" i="9"/>
  <c r="I29" i="9"/>
  <c r="K29" i="9"/>
  <c r="K9" i="1"/>
  <c r="J3" i="9"/>
  <c r="J4" i="9"/>
  <c r="J5" i="9"/>
  <c r="J6" i="9"/>
  <c r="J7" i="9"/>
  <c r="J8" i="9"/>
  <c r="J9" i="9"/>
  <c r="J10" i="9"/>
  <c r="J11" i="9"/>
  <c r="J12" i="9"/>
  <c r="J13" i="9"/>
  <c r="J14" i="9"/>
  <c r="J15" i="9"/>
  <c r="J16" i="9"/>
  <c r="J17" i="9"/>
  <c r="J18" i="9"/>
  <c r="J19" i="9"/>
  <c r="J20" i="9"/>
  <c r="J21" i="9"/>
  <c r="J22" i="9"/>
  <c r="J23" i="9"/>
  <c r="J24" i="9"/>
  <c r="J25" i="9"/>
  <c r="J26" i="9"/>
  <c r="J27" i="9"/>
  <c r="J28" i="9"/>
  <c r="J30" i="9"/>
  <c r="J31" i="9"/>
  <c r="J2" i="9"/>
  <c r="I2" i="9"/>
  <c r="I3" i="9"/>
  <c r="I4" i="9"/>
  <c r="I5" i="9"/>
  <c r="I6" i="9"/>
  <c r="I7" i="9"/>
  <c r="I8" i="9"/>
  <c r="I9" i="9"/>
  <c r="I10" i="9"/>
  <c r="I11" i="9"/>
  <c r="I12" i="9"/>
  <c r="I13" i="9"/>
  <c r="I14" i="9"/>
  <c r="I15" i="9"/>
  <c r="I16" i="9"/>
  <c r="I17" i="9"/>
  <c r="I18" i="9"/>
  <c r="I19" i="9"/>
  <c r="I20" i="9"/>
  <c r="I21" i="9"/>
  <c r="I22" i="9"/>
  <c r="I23" i="9"/>
  <c r="I24" i="9"/>
  <c r="I25" i="9"/>
  <c r="I26" i="9"/>
  <c r="I27" i="9"/>
  <c r="I28" i="9"/>
  <c r="I30" i="9"/>
  <c r="I31" i="9"/>
  <c r="J3" i="1"/>
  <c r="J4" i="1"/>
  <c r="J5" i="1"/>
  <c r="J6" i="1"/>
  <c r="J7" i="1"/>
  <c r="J8" i="1"/>
  <c r="J9" i="1"/>
  <c r="J10" i="1"/>
  <c r="J11" i="1"/>
  <c r="J12" i="1"/>
  <c r="J13" i="1"/>
  <c r="J14" i="1"/>
  <c r="J15" i="1"/>
  <c r="J16" i="1"/>
  <c r="I2" i="1"/>
  <c r="I3" i="1"/>
  <c r="I4" i="1"/>
  <c r="I5" i="1"/>
  <c r="I6" i="1"/>
  <c r="I7" i="1"/>
  <c r="I8" i="1"/>
  <c r="I9" i="1"/>
  <c r="I10" i="1"/>
  <c r="I11" i="1"/>
  <c r="I12" i="1"/>
  <c r="I13" i="1"/>
  <c r="I14" i="1"/>
  <c r="I15" i="1"/>
  <c r="I16" i="1"/>
  <c r="I17" i="1"/>
  <c r="O14" i="1"/>
  <c r="O16" i="1"/>
  <c r="O13" i="1"/>
  <c r="O15" i="1"/>
  <c r="O3" i="1"/>
  <c r="O12" i="1"/>
  <c r="O8" i="1"/>
  <c r="O4" i="1"/>
  <c r="O7" i="1"/>
  <c r="O5" i="1"/>
  <c r="O10" i="1"/>
  <c r="O17" i="1"/>
  <c r="O6" i="1"/>
  <c r="O9" i="1"/>
  <c r="O2" i="1"/>
  <c r="O11" i="1"/>
  <c r="J5" i="20" l="1"/>
  <c r="N2" i="20" a="1"/>
  <c r="N2" i="20" s="1"/>
  <c r="J2" i="20"/>
  <c r="L5" i="20"/>
  <c r="L2" i="20"/>
  <c r="H8" i="20"/>
  <c r="N7" i="20" a="1"/>
  <c r="N7" i="20" s="1"/>
  <c r="N15" i="20" a="1"/>
  <c r="N15" i="20" s="1"/>
  <c r="N17" i="20" a="1"/>
  <c r="N17" i="20" s="1"/>
  <c r="N4" i="20" a="1"/>
  <c r="N4" i="20" s="1"/>
  <c r="N6" i="20" a="1"/>
  <c r="N6" i="20" s="1"/>
  <c r="N13" i="20" a="1"/>
  <c r="N13" i="20" s="1"/>
  <c r="N3" i="20" a="1"/>
  <c r="N3" i="20" s="1"/>
  <c r="N8" i="20" a="1"/>
  <c r="N8" i="20" s="1"/>
  <c r="N9" i="20" a="1"/>
  <c r="N9" i="20" s="1"/>
  <c r="N11" i="20" a="1"/>
  <c r="N11" i="20" s="1"/>
  <c r="F5" i="20"/>
  <c r="L4" i="20"/>
  <c r="N12" i="20" a="1"/>
  <c r="N12" i="20" s="1"/>
  <c r="N14" i="20" a="1"/>
  <c r="N14" i="20" s="1"/>
  <c r="F2" i="20"/>
  <c r="L17" i="20"/>
  <c r="N5" i="20" a="1"/>
  <c r="N5" i="20" s="1"/>
  <c r="H14" i="20"/>
  <c r="L6" i="20"/>
  <c r="F14" i="20"/>
  <c r="H2" i="20"/>
  <c r="H15" i="20"/>
  <c r="J11" i="20"/>
  <c r="L14" i="20"/>
  <c r="F9" i="20"/>
  <c r="H4" i="20"/>
  <c r="H16" i="20"/>
  <c r="J12" i="20"/>
  <c r="L8" i="20"/>
  <c r="F7" i="20"/>
  <c r="F10" i="20"/>
  <c r="J13" i="20"/>
  <c r="L9" i="20"/>
  <c r="N10" i="20" a="1"/>
  <c r="N10" i="20" s="1"/>
  <c r="F11" i="20"/>
  <c r="J14" i="20"/>
  <c r="L10" i="20"/>
  <c r="L16" i="20"/>
  <c r="H13" i="20"/>
  <c r="H7" i="20"/>
  <c r="J3" i="20"/>
  <c r="J15" i="20"/>
  <c r="L11" i="20"/>
  <c r="F6" i="20"/>
  <c r="J4" i="20"/>
  <c r="J16" i="20"/>
  <c r="F15" i="20"/>
  <c r="H9" i="20"/>
  <c r="J17" i="20"/>
  <c r="H10" i="20"/>
  <c r="H12" i="20"/>
  <c r="F3" i="20"/>
  <c r="F16" i="20"/>
  <c r="J6" i="20"/>
  <c r="N16" i="20" a="1"/>
  <c r="N16" i="20" s="1"/>
  <c r="F4" i="20"/>
  <c r="F17" i="20"/>
  <c r="H11" i="20"/>
  <c r="J7" i="20"/>
  <c r="L3" i="20"/>
  <c r="L15" i="20"/>
  <c r="H17" i="20"/>
  <c r="F12" i="20"/>
  <c r="J8" i="20"/>
  <c r="L12" i="20"/>
  <c r="F13" i="20"/>
  <c r="L13" i="20"/>
  <c r="H3" i="20"/>
  <c r="J9" i="20"/>
  <c r="H6" i="20"/>
  <c r="H5" i="20"/>
  <c r="J10" i="20"/>
  <c r="F8" i="20"/>
  <c r="L7" i="20"/>
  <c r="D10" i="20"/>
  <c r="D12" i="20"/>
  <c r="D4" i="20"/>
  <c r="D7" i="20"/>
  <c r="D9" i="20"/>
  <c r="D15" i="20"/>
  <c r="D8" i="20"/>
  <c r="D3" i="20"/>
  <c r="D2" i="20"/>
  <c r="D17" i="20"/>
  <c r="D11" i="20"/>
  <c r="D14" i="20"/>
  <c r="D13" i="20"/>
  <c r="D6" i="20"/>
  <c r="D5" i="20"/>
  <c r="D16" i="20"/>
  <c r="M4" i="9"/>
  <c r="M21" i="9"/>
  <c r="M14" i="9"/>
  <c r="M15" i="9"/>
  <c r="M6" i="9"/>
  <c r="M8" i="9"/>
  <c r="M12" i="9"/>
  <c r="M29" i="9"/>
  <c r="M11" i="9"/>
  <c r="M17" i="9"/>
  <c r="M31" i="9"/>
  <c r="M2" i="9"/>
  <c r="M24" i="9"/>
  <c r="M25" i="9"/>
  <c r="M3" i="9"/>
  <c r="M10" i="9"/>
  <c r="M19" i="9"/>
  <c r="M9" i="9"/>
  <c r="M23" i="9"/>
  <c r="M5" i="9"/>
  <c r="M28" i="9"/>
  <c r="M26" i="9"/>
  <c r="M27" i="9"/>
  <c r="M13" i="9"/>
  <c r="M7" i="9"/>
  <c r="M18" i="9"/>
  <c r="M22" i="9"/>
  <c r="M16" i="9"/>
  <c r="M30" i="9"/>
  <c r="M20" i="9"/>
  <c r="N14" i="1"/>
  <c r="N16" i="1"/>
  <c r="N13" i="1"/>
  <c r="N15" i="1"/>
  <c r="N3" i="1"/>
  <c r="N12" i="1"/>
  <c r="N8" i="1"/>
  <c r="N4" i="1"/>
  <c r="N7" i="1"/>
  <c r="N5" i="1"/>
  <c r="N10" i="1"/>
  <c r="N17" i="1"/>
  <c r="N6" i="1"/>
  <c r="N9" i="1"/>
  <c r="N2" i="1"/>
  <c r="N11" i="1"/>
  <c r="B8" i="8"/>
  <c r="B3" i="8"/>
  <c r="P21" i="9"/>
  <c r="P14" i="9"/>
  <c r="P15" i="9"/>
  <c r="P6" i="9"/>
  <c r="P8" i="9"/>
  <c r="P12" i="9"/>
  <c r="P17" i="9"/>
  <c r="P31" i="9"/>
  <c r="P2" i="9"/>
  <c r="P24" i="9"/>
  <c r="P25" i="9"/>
  <c r="P3" i="9"/>
  <c r="P11" i="9"/>
  <c r="P10" i="9"/>
  <c r="P19" i="9"/>
  <c r="P9" i="9"/>
  <c r="P23" i="9"/>
  <c r="P5" i="9"/>
  <c r="P28" i="9"/>
  <c r="P26" i="9"/>
  <c r="P27" i="9"/>
  <c r="P13" i="9"/>
  <c r="P7" i="9"/>
  <c r="P18" i="9"/>
  <c r="P22" i="9"/>
  <c r="P16" i="9"/>
  <c r="P30" i="9"/>
  <c r="P20" i="9"/>
  <c r="P4" i="9"/>
  <c r="R14" i="1"/>
  <c r="R16" i="1"/>
  <c r="R13" i="1"/>
  <c r="R15" i="1"/>
  <c r="R3" i="1"/>
  <c r="R12" i="1"/>
  <c r="R8" i="1"/>
  <c r="R4" i="1"/>
  <c r="R7" i="1"/>
  <c r="R5" i="1"/>
  <c r="R10" i="1"/>
  <c r="R17" i="1"/>
  <c r="R6" i="1"/>
  <c r="R9" i="1"/>
  <c r="R2" i="1"/>
  <c r="R11" i="1"/>
  <c r="K3" i="9"/>
  <c r="K4" i="9"/>
  <c r="K21" i="9"/>
  <c r="K24" i="9"/>
  <c r="K6" i="9"/>
  <c r="K7" i="9"/>
  <c r="K10" i="9"/>
  <c r="K13" i="9"/>
  <c r="K18" i="9"/>
  <c r="K2" i="9"/>
  <c r="K5" i="9"/>
  <c r="K17" i="9"/>
  <c r="K23" i="9"/>
  <c r="K31" i="9"/>
  <c r="K9" i="9"/>
  <c r="K19" i="9"/>
  <c r="K22" i="9"/>
  <c r="K26" i="9"/>
  <c r="K30" i="9"/>
  <c r="K11" i="9"/>
  <c r="K14" i="9"/>
  <c r="K15" i="9"/>
  <c r="K25" i="9"/>
  <c r="K27" i="9"/>
  <c r="K8" i="9"/>
  <c r="K12" i="9"/>
  <c r="K16" i="9"/>
  <c r="K20" i="9"/>
  <c r="K28" i="9"/>
  <c r="F29" i="9"/>
  <c r="F3" i="9"/>
  <c r="F4" i="9"/>
  <c r="F21" i="9"/>
  <c r="F24" i="9"/>
  <c r="F6" i="9"/>
  <c r="F7" i="9"/>
  <c r="F10" i="9"/>
  <c r="F13" i="9"/>
  <c r="F18" i="9"/>
  <c r="F2" i="9"/>
  <c r="F5" i="9"/>
  <c r="F17" i="9"/>
  <c r="F23" i="9"/>
  <c r="F31" i="9"/>
  <c r="F9" i="9"/>
  <c r="F19" i="9"/>
  <c r="F22" i="9"/>
  <c r="F26" i="9"/>
  <c r="F30" i="9"/>
  <c r="F11" i="9"/>
  <c r="F14" i="9"/>
  <c r="F15" i="9"/>
  <c r="F25" i="9"/>
  <c r="F27" i="9"/>
  <c r="F8" i="9"/>
  <c r="F12" i="9"/>
  <c r="F16" i="9"/>
  <c r="F20" i="9"/>
  <c r="F28" i="9"/>
  <c r="D3" i="9"/>
  <c r="D4" i="9"/>
  <c r="D21" i="9"/>
  <c r="D24" i="9"/>
  <c r="D29" i="9"/>
  <c r="D6" i="9"/>
  <c r="D7" i="9"/>
  <c r="D10" i="9"/>
  <c r="D13" i="9"/>
  <c r="D18" i="9"/>
  <c r="D2" i="9"/>
  <c r="D5" i="9"/>
  <c r="D17" i="9"/>
  <c r="D23" i="9"/>
  <c r="D31" i="9"/>
  <c r="D9" i="9"/>
  <c r="D19" i="9"/>
  <c r="D22" i="9"/>
  <c r="D26" i="9"/>
  <c r="D30" i="9"/>
  <c r="D11" i="9"/>
  <c r="D14" i="9"/>
  <c r="D15" i="9"/>
  <c r="D25" i="9"/>
  <c r="D27" i="9"/>
  <c r="D8" i="9"/>
  <c r="D12" i="9"/>
  <c r="D16" i="9"/>
  <c r="D20" i="9"/>
  <c r="D28" i="9"/>
  <c r="G14" i="1"/>
  <c r="G16" i="1"/>
  <c r="G13" i="1"/>
  <c r="G15" i="1"/>
  <c r="G3" i="1"/>
  <c r="G8" i="1"/>
  <c r="G7" i="1"/>
  <c r="G10" i="1"/>
  <c r="G6" i="1"/>
  <c r="G9" i="1"/>
  <c r="G4" i="1"/>
  <c r="G11" i="1"/>
  <c r="G5" i="1"/>
  <c r="G17" i="1"/>
  <c r="B52" i="8"/>
  <c r="C17" i="1"/>
  <c r="E17" i="1"/>
  <c r="K17" i="1"/>
  <c r="E14" i="1"/>
  <c r="E16" i="1"/>
  <c r="E13" i="1"/>
  <c r="E15" i="1"/>
  <c r="E3" i="1"/>
  <c r="E12" i="1"/>
  <c r="E8" i="1"/>
  <c r="E7" i="1"/>
  <c r="E10" i="1"/>
  <c r="E6" i="1"/>
  <c r="E9" i="1"/>
  <c r="E4" i="1"/>
  <c r="E2" i="1"/>
  <c r="E11" i="1"/>
  <c r="E5" i="1"/>
  <c r="C14" i="1"/>
  <c r="C16" i="1"/>
  <c r="C13" i="1"/>
  <c r="C15" i="1"/>
  <c r="C3" i="1"/>
  <c r="C12" i="1"/>
  <c r="C8" i="1"/>
  <c r="C7" i="1"/>
  <c r="C10" i="1"/>
  <c r="C6" i="1"/>
  <c r="C9" i="1"/>
  <c r="C4" i="1"/>
  <c r="C2" i="1"/>
  <c r="C11" i="1"/>
  <c r="C5" i="1"/>
  <c r="K14" i="1"/>
  <c r="K16" i="1"/>
  <c r="K13" i="1"/>
  <c r="K15" i="1"/>
  <c r="K3" i="1"/>
  <c r="K12" i="1"/>
  <c r="K8" i="1"/>
  <c r="K7" i="1"/>
  <c r="K10" i="1"/>
  <c r="K6" i="1"/>
  <c r="K4" i="1"/>
  <c r="K11" i="1"/>
  <c r="K5" i="1"/>
  <c r="S7" i="20" l="1"/>
  <c r="T7" i="1" s="1"/>
  <c r="S7" i="1" s="1"/>
  <c r="S12" i="20"/>
  <c r="S15" i="20"/>
  <c r="T15" i="1" s="1"/>
  <c r="S15" i="1" s="1"/>
  <c r="S5" i="20"/>
  <c r="S6" i="20"/>
  <c r="S16" i="20"/>
  <c r="S13" i="20"/>
  <c r="T13" i="1" s="1"/>
  <c r="S13" i="1" s="1"/>
  <c r="S10" i="20"/>
  <c r="T10" i="1" s="1"/>
  <c r="S10" i="1" s="1"/>
  <c r="S14" i="20"/>
  <c r="T14" i="1" s="1"/>
  <c r="S14" i="1" s="1"/>
  <c r="S11" i="20"/>
  <c r="T11" i="1" s="1"/>
  <c r="S11" i="1" s="1"/>
  <c r="S2" i="20"/>
  <c r="T2" i="1" s="1"/>
  <c r="S2" i="1" s="1"/>
  <c r="S17" i="20"/>
  <c r="T17" i="1" s="1"/>
  <c r="S17" i="1" s="1"/>
  <c r="S9" i="20"/>
  <c r="T9" i="1" s="1"/>
  <c r="S9" i="1" s="1"/>
  <c r="S4" i="20"/>
  <c r="T4" i="1" s="1"/>
  <c r="S4" i="1" s="1"/>
  <c r="S3" i="20"/>
  <c r="T3" i="1" s="1"/>
  <c r="S3" i="1" s="1"/>
  <c r="S8" i="20"/>
  <c r="T8" i="1" s="1"/>
  <c r="S8" i="1" s="1"/>
  <c r="T12" i="1"/>
  <c r="S12" i="1" s="1"/>
  <c r="T16" i="1"/>
  <c r="S16" i="1" s="1"/>
  <c r="T5" i="1"/>
  <c r="S5" i="1" s="1"/>
  <c r="T6" i="1"/>
  <c r="S6"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71D6F00-E5EF-4F29-83B2-110ED660CAEF}" keepAlive="1" name="Query - Exsisting Major Sports Teams" description="Connection to the 'Exsisting Major Sports Teams' query in the workbook." type="5" refreshedVersion="8" background="1" saveData="1">
    <dbPr connection="Provider=Microsoft.Mashup.OleDb.1;Data Source=$Workbook$;Location=&quot;Exsisting Major Sports Teams&quot;;Extended Properties=&quot;&quot;" command="SELECT * FROM [Exsisting Major Sports Teams]"/>
  </connection>
  <connection id="2" xr16:uid="{AFE92ADA-2750-4585-B0DC-ADB413069DCB}" keepAlive="1" name="Query - NBA Team Financial Data Lookup" description="Connection to the 'NBA Team Financial Data Lookup' query in the workbook." type="5" refreshedVersion="8" background="1" saveData="1">
    <dbPr connection="Provider=Microsoft.Mashup.OleDb.1;Data Source=$Workbook$;Location=&quot;NBA Team Financial Data Lookup&quot;;Extended Properties=&quot;&quot;" command="SELECT * FROM [NBA Team Financial Data Lookup]"/>
  </connection>
  <connection id="3" xr16:uid="{5D19FC02-A160-4CE0-936C-B413F0B57E6E}" keepAlive="1" name="Query - NBA Teams Data" description="Connection to the 'NBA Teams Data' query in the workbook." type="5" refreshedVersion="8" background="1" saveData="1">
    <dbPr connection="Provider=Microsoft.Mashup.OleDb.1;Data Source=$Workbook$;Location=&quot;NBA Teams Data&quot;;Extended Properties=&quot;&quot;" command="SELECT * FROM [NBA Teams Data]"/>
  </connection>
  <connection id="4" xr16:uid="{C7CE5CB5-0382-4CE0-8D15-02BF5B0BF093}" keepAlive="1" name="Query - Nielsen TV Market Lookup" description="Connection to the 'Nielsen TV Market Lookup' query in the workbook." type="5" refreshedVersion="8" background="1" saveData="1">
    <dbPr connection="Provider=Microsoft.Mashup.OleDb.1;Data Source=$Workbook$;Location=&quot;Nielsen TV Market Lookup&quot;;Extended Properties=&quot;&quot;" command="SELECT * FROM [Nielsen TV Market Lookup]"/>
  </connection>
  <connection id="5" xr16:uid="{A9E5BC3A-90D3-49A8-9CE7-7DCA488988A8}" keepAlive="1" name="Query - USA Metro Population Lookup" description="Connection to the 'USA Metro Population Lookup' query in the workbook." type="5" refreshedVersion="8" background="1" saveData="1">
    <dbPr connection="Provider=Microsoft.Mashup.OleDb.1;Data Source=$Workbook$;Location=&quot;USA Metro Population Lookup&quot;;Extended Properties=&quot;&quot;" command="SELECT * FROM [USA Metro Population Lookup]"/>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<sst xmlns="http://schemas.openxmlformats.org/spreadsheetml/2006/main" count="3418" uniqueCount="2088">
  <si>
    <t>City ID</t>
  </si>
  <si>
    <t>City Name</t>
  </si>
  <si>
    <t>Region Key</t>
  </si>
  <si>
    <t>Region</t>
  </si>
  <si>
    <t>Metro Population (2024)</t>
  </si>
  <si>
    <t xml:space="preserve">Projected Population (2030) </t>
  </si>
  <si>
    <t>Population Growth (% change since 2020)</t>
  </si>
  <si>
    <t>Demographic Data (15 - 44 Age Group as % of Total Population)</t>
  </si>
  <si>
    <t>Per Capita Personal Income (2023)</t>
  </si>
  <si>
    <t>Personal Income Rank within the USA</t>
  </si>
  <si>
    <t>Nielsen TV Market Rank</t>
  </si>
  <si>
    <t>NBA Google Analytic Trend Score (0-100)</t>
  </si>
  <si>
    <t>NBA Teams within Fan Base Catchment Area (200kms)</t>
  </si>
  <si>
    <t>Exsisiting Major Sports Teams</t>
  </si>
  <si>
    <t>NBA Ready Arena?</t>
  </si>
  <si>
    <t>Arena Name</t>
  </si>
  <si>
    <t xml:space="preserve">Arena Capacity </t>
  </si>
  <si>
    <t>Fortune 500 HQ's</t>
  </si>
  <si>
    <t>Projected Franchise Valuation</t>
  </si>
  <si>
    <t>Expansion Weighted Criteria Score</t>
  </si>
  <si>
    <t>All Cities Weighted Criteria Score</t>
  </si>
  <si>
    <t>ALQ</t>
  </si>
  <si>
    <t>Albuquerque-Santa Fe</t>
  </si>
  <si>
    <t>Pacific</t>
  </si>
  <si>
    <t>No</t>
  </si>
  <si>
    <t>Tingley Coliseum</t>
  </si>
  <si>
    <t>AUS</t>
  </si>
  <si>
    <t>Austin</t>
  </si>
  <si>
    <t>Southern</t>
  </si>
  <si>
    <t>Yes</t>
  </si>
  <si>
    <t>Luedecke Arena</t>
  </si>
  <si>
    <t>CIN</t>
  </si>
  <si>
    <t>Cincinnati</t>
  </si>
  <si>
    <t>Great Lakes</t>
  </si>
  <si>
    <t>Heritage Bank Center</t>
  </si>
  <si>
    <t>COL</t>
  </si>
  <si>
    <t>Columbus</t>
  </si>
  <si>
    <t>Nationwide Arena</t>
  </si>
  <si>
    <t>JAX</t>
  </si>
  <si>
    <t>Jacksonville</t>
  </si>
  <si>
    <t>VyStar Veterans Memorial Arena</t>
  </si>
  <si>
    <t>KC</t>
  </si>
  <si>
    <t>Kansas City</t>
  </si>
  <si>
    <t>Midwest</t>
  </si>
  <si>
    <t>T-Mobile Center</t>
  </si>
  <si>
    <t>LV</t>
  </si>
  <si>
    <t>Las Vegas</t>
  </si>
  <si>
    <t>T-Mobile Arena</t>
  </si>
  <si>
    <t>LOU</t>
  </si>
  <si>
    <t>Louisville</t>
  </si>
  <si>
    <t>KFC Yum! Center</t>
  </si>
  <si>
    <t>NSH</t>
  </si>
  <si>
    <t>Nashville</t>
  </si>
  <si>
    <t>Bridgestone Arena</t>
  </si>
  <si>
    <t>OMH</t>
  </si>
  <si>
    <t>Omaha</t>
  </si>
  <si>
    <t>CHI Health Center Omaha</t>
  </si>
  <si>
    <t>PIT</t>
  </si>
  <si>
    <t>Pittsburgh</t>
  </si>
  <si>
    <t>PPG Paints Arena</t>
  </si>
  <si>
    <t>SD</t>
  </si>
  <si>
    <t>San Diego</t>
  </si>
  <si>
    <t>Pechanga Arena</t>
  </si>
  <si>
    <t>SEA</t>
  </si>
  <si>
    <t>Seattle</t>
  </si>
  <si>
    <t>Climate Pledge Arena</t>
  </si>
  <si>
    <t>STL</t>
  </si>
  <si>
    <t>St. Louis</t>
  </si>
  <si>
    <t>Enterprise Center</t>
  </si>
  <si>
    <t>TPA</t>
  </si>
  <si>
    <t>Tampa</t>
  </si>
  <si>
    <t>Amalie Arena</t>
  </si>
  <si>
    <t>VGB</t>
  </si>
  <si>
    <t>Virginia Beach–Chesapeake–Norfolk</t>
  </si>
  <si>
    <t>Atlantic</t>
  </si>
  <si>
    <t>Norfolk Scope</t>
  </si>
  <si>
    <t>Team Name</t>
  </si>
  <si>
    <t>Metro Population 2024</t>
  </si>
  <si>
    <t>Population Growth (% Change since 2020)</t>
  </si>
  <si>
    <t>Personal Income Rank within the USA (2023)</t>
  </si>
  <si>
    <t>Major Sports Teams in Metro Area</t>
  </si>
  <si>
    <t>Capacity</t>
  </si>
  <si>
    <t>Franchise Value (Prior to 24/25 NBA season)</t>
  </si>
  <si>
    <t>EBITDA (Earnings Before Interest, Taxes, Depreciation, and Amortization)</t>
  </si>
  <si>
    <t>NBA Weighted Criteria Score</t>
  </si>
  <si>
    <t>ATL</t>
  </si>
  <si>
    <t>Atlanta</t>
  </si>
  <si>
    <t>Atlanta Hawks</t>
  </si>
  <si>
    <t>State Farm Arena</t>
  </si>
  <si>
    <t>BOS</t>
  </si>
  <si>
    <t>Boston</t>
  </si>
  <si>
    <t>Boston Celtics</t>
  </si>
  <si>
    <t>TD Garden</t>
  </si>
  <si>
    <t>BKN</t>
  </si>
  <si>
    <t>New York City</t>
  </si>
  <si>
    <t>Brooklyn Nets</t>
  </si>
  <si>
    <t>Barclays Center</t>
  </si>
  <si>
    <t>CHA</t>
  </si>
  <si>
    <t>Charlotte</t>
  </si>
  <si>
    <t>Charlotte Hornets</t>
  </si>
  <si>
    <t>Spectrum Center</t>
  </si>
  <si>
    <t>CHI</t>
  </si>
  <si>
    <t>Chicago</t>
  </si>
  <si>
    <t>Chicago Bulls</t>
  </si>
  <si>
    <t>United Center</t>
  </si>
  <si>
    <t>CLE</t>
  </si>
  <si>
    <t>Cleveland</t>
  </si>
  <si>
    <t>Cleveland Cavaliers</t>
  </si>
  <si>
    <t>Rocket Arena</t>
  </si>
  <si>
    <t>DAL</t>
  </si>
  <si>
    <t>Dallas</t>
  </si>
  <si>
    <t>Dallas Mavericks</t>
  </si>
  <si>
    <t>American Airlines Center</t>
  </si>
  <si>
    <t>DEN</t>
  </si>
  <si>
    <t>Denver</t>
  </si>
  <si>
    <t>Denver Nuggets</t>
  </si>
  <si>
    <t>Ball Arena</t>
  </si>
  <si>
    <t>DET</t>
  </si>
  <si>
    <t>Detroit</t>
  </si>
  <si>
    <t>Detroit Pistons</t>
  </si>
  <si>
    <t>Little Caesars Arena</t>
  </si>
  <si>
    <t>GSW</t>
  </si>
  <si>
    <t>San Francisco</t>
  </si>
  <si>
    <t>Golden State Warriors</t>
  </si>
  <si>
    <t>Chase Center</t>
  </si>
  <si>
    <t>HOU</t>
  </si>
  <si>
    <t>Houston</t>
  </si>
  <si>
    <t>Houston Rockets</t>
  </si>
  <si>
    <t>Toyota Center</t>
  </si>
  <si>
    <t>IND</t>
  </si>
  <si>
    <t>Indianapolis</t>
  </si>
  <si>
    <t>Indiana Pacers</t>
  </si>
  <si>
    <t>Gainbridge Fieldhouse</t>
  </si>
  <si>
    <t>LAC</t>
  </si>
  <si>
    <t>Los Angeles</t>
  </si>
  <si>
    <t>Los Angeles Clippers</t>
  </si>
  <si>
    <t>Intuit Dome</t>
  </si>
  <si>
    <t>LAL</t>
  </si>
  <si>
    <t>Los Angeles Lakers</t>
  </si>
  <si>
    <t>Crypto.com Arena</t>
  </si>
  <si>
    <t>MEM</t>
  </si>
  <si>
    <t>Memphis</t>
  </si>
  <si>
    <t>Memphis Grizzlies</t>
  </si>
  <si>
    <t>FedExForum</t>
  </si>
  <si>
    <t>MIA</t>
  </si>
  <si>
    <t>Miami</t>
  </si>
  <si>
    <t>Miami Heat</t>
  </si>
  <si>
    <t>Kaseya Center</t>
  </si>
  <si>
    <t>MIL</t>
  </si>
  <si>
    <t>Milwaukee</t>
  </si>
  <si>
    <t>Milwaukee Bucks</t>
  </si>
  <si>
    <t>Fiserv Forum</t>
  </si>
  <si>
    <t>MIN</t>
  </si>
  <si>
    <t>Minneapolis</t>
  </si>
  <si>
    <t>Minnesota Timberwolves</t>
  </si>
  <si>
    <t>Target Center</t>
  </si>
  <si>
    <t>NO</t>
  </si>
  <si>
    <t>New Orleans</t>
  </si>
  <si>
    <t>New Orleans Pelicans</t>
  </si>
  <si>
    <t>Smoothie King Center</t>
  </si>
  <si>
    <t>NY</t>
  </si>
  <si>
    <t>New York Knicks</t>
  </si>
  <si>
    <t>Madison Square Garden</t>
  </si>
  <si>
    <t>OKC</t>
  </si>
  <si>
    <t>Oklahoma City</t>
  </si>
  <si>
    <t>Oklahoma City Thunder</t>
  </si>
  <si>
    <t>Paycom Center</t>
  </si>
  <si>
    <t>ORL</t>
  </si>
  <si>
    <t>Orlando</t>
  </si>
  <si>
    <t>Orlando Magic</t>
  </si>
  <si>
    <t>Kia Center</t>
  </si>
  <si>
    <t>PHI</t>
  </si>
  <si>
    <t>Philadelphia</t>
  </si>
  <si>
    <t>Philadelphia 76ers</t>
  </si>
  <si>
    <t>Wells Fargo Center</t>
  </si>
  <si>
    <t>PHX</t>
  </si>
  <si>
    <t>Phoenix</t>
  </si>
  <si>
    <t>Phoenix Suns</t>
  </si>
  <si>
    <t>PHX Arena</t>
  </si>
  <si>
    <t>POR</t>
  </si>
  <si>
    <t>Portland</t>
  </si>
  <si>
    <t>Portland Trail Blazers</t>
  </si>
  <si>
    <t>Moda Center</t>
  </si>
  <si>
    <t>SAC</t>
  </si>
  <si>
    <t>Sacramento</t>
  </si>
  <si>
    <t>Sacramento Kings</t>
  </si>
  <si>
    <t>Golden 1 Center</t>
  </si>
  <si>
    <t>SA</t>
  </si>
  <si>
    <t>San Antonio</t>
  </si>
  <si>
    <t>San Antonio Spurs</t>
  </si>
  <si>
    <t>Frost Bank Center</t>
  </si>
  <si>
    <t>TOR</t>
  </si>
  <si>
    <t>Toronto</t>
  </si>
  <si>
    <t>Toronto Raptors</t>
  </si>
  <si>
    <t>Scotiabank Arena</t>
  </si>
  <si>
    <t>UTA</t>
  </si>
  <si>
    <t>Salt Lake City</t>
  </si>
  <si>
    <t>Utah Jazz</t>
  </si>
  <si>
    <t>Delta Center</t>
  </si>
  <si>
    <t>DC</t>
  </si>
  <si>
    <t>Washington DC</t>
  </si>
  <si>
    <t>Washington Wizards</t>
  </si>
  <si>
    <t>Capital One Arena</t>
  </si>
  <si>
    <t>Metro Population Weighted Score (20%)</t>
  </si>
  <si>
    <t>Population Growth Weighted Score (15%)</t>
  </si>
  <si>
    <t>Per Capita Income Weighted Score (15%)</t>
  </si>
  <si>
    <t>TV Market Rank Weighted Score (10%)</t>
  </si>
  <si>
    <t>Google Trend Weighted Score (10%)</t>
  </si>
  <si>
    <t>Demographic Weighted Score (10%)</t>
  </si>
  <si>
    <t>Arena Criteria (10%)</t>
  </si>
  <si>
    <t>Fortune 500 HQ's Score (10%)</t>
  </si>
  <si>
    <t>Weighted Criteria Score</t>
  </si>
  <si>
    <t>Demographic Data (15 - 44 Age Group as a % of Total Population)</t>
  </si>
  <si>
    <t>Demographic Data (15 - 44 Age Group)</t>
  </si>
  <si>
    <t xml:space="preserve">Country </t>
  </si>
  <si>
    <t xml:space="preserve">Continent </t>
  </si>
  <si>
    <t>USA</t>
  </si>
  <si>
    <t>North America</t>
  </si>
  <si>
    <t>Metropolitan Area</t>
  </si>
  <si>
    <t>2024 Estimate</t>
  </si>
  <si>
    <t xml:space="preserve"> % Change since 2020</t>
  </si>
  <si>
    <t>Baltimore–Columbia–Towson, MD MSA</t>
  </si>
  <si>
    <t>Providence–Warwick, RI-MA MSA</t>
  </si>
  <si>
    <t>Raleigh–Cary, NC MSA</t>
  </si>
  <si>
    <t>Richmond, VA MSA</t>
  </si>
  <si>
    <t>Birmingham, AL MSA</t>
  </si>
  <si>
    <t>Fresno, CA MSA</t>
  </si>
  <si>
    <t>Grand Rapids–Wyoming–Kentwood, MI MSA</t>
  </si>
  <si>
    <t>Hartford–West Hartford–East Hartford, CT MSA</t>
  </si>
  <si>
    <t>Buffalo–Cheektowaga, NY MSA</t>
  </si>
  <si>
    <t>−0.58</t>
  </si>
  <si>
    <t>Tucson, AZ MSA</t>
  </si>
  <si>
    <t>Tulsa, OK MSA</t>
  </si>
  <si>
    <t>Rochester, NY MSA</t>
  </si>
  <si>
    <t>−0.76</t>
  </si>
  <si>
    <t>Urban Honolulu, HI MSA</t>
  </si>
  <si>
    <t>−1.75</t>
  </si>
  <si>
    <t>Greenville–Anderson–Greer, SC MSA</t>
  </si>
  <si>
    <t>Bridgeport–Stamford–Danbury, CT MSA</t>
  </si>
  <si>
    <t>Knoxville, TN MSA</t>
  </si>
  <si>
    <t>North Port–Bradenton–Sarasota, FL MSA</t>
  </si>
  <si>
    <t>Bakersfield–Delano, CA MSA</t>
  </si>
  <si>
    <t>McAllen–Edinburg–Mission, TX MSA</t>
  </si>
  <si>
    <t>Albany–Schenectady–Troy, NY MSA</t>
  </si>
  <si>
    <t>Allentown–Bethlehem–Easton, PA-NJ MSA</t>
  </si>
  <si>
    <t>Baton Rouge, LA MSA</t>
  </si>
  <si>
    <t>Worcester, MA MSA</t>
  </si>
  <si>
    <t>El Paso, TX MSA</t>
  </si>
  <si>
    <t>Columbia, SC MSA</t>
  </si>
  <si>
    <t>Charleston–North Charleston, SC MSA</t>
  </si>
  <si>
    <t>Cape Coral–Fort Myers, FL MSA</t>
  </si>
  <si>
    <t>Lakeland–Winter Haven, FL MSA</t>
  </si>
  <si>
    <t>Boise City, ID MSA</t>
  </si>
  <si>
    <t>Oxnard–Thousand Oaks–Ventura, CA MSA</t>
  </si>
  <si>
    <t>−1.00</t>
  </si>
  <si>
    <t>Dayton–Kettering–Beavercreek, OH MSA</t>
  </si>
  <si>
    <t>Stockton–Lodi, CA MSA</t>
  </si>
  <si>
    <t>Greensboro–High Point, NC MSA</t>
  </si>
  <si>
    <t>Colorado Springs, CO MSA</t>
  </si>
  <si>
    <t>Little Rock–North Little Rock–Conway, AR MSA</t>
  </si>
  <si>
    <t>Provo–Orem–Lehi, UT MSA</t>
  </si>
  <si>
    <t>Des Moines–West Des Moines, IA MSA</t>
  </si>
  <si>
    <t>Deltona–Daytona Beach–Ormond Beach, FL MSA</t>
  </si>
  <si>
    <t>Kiryas Joel–Poughkeepsie–Newburgh, NY MSA</t>
  </si>
  <si>
    <t>Madison, WI MSA</t>
  </si>
  <si>
    <t>Winston-Salem, NC MSA</t>
  </si>
  <si>
    <t>Akron, OH MSA</t>
  </si>
  <si>
    <t>Ogden, UT MSA</t>
  </si>
  <si>
    <t>Wichita, KS MSA</t>
  </si>
  <si>
    <t>Palm Bay–Melbourne–Titusville, FL MSA</t>
  </si>
  <si>
    <t>Syracuse, NY MSA</t>
  </si>
  <si>
    <t>−1.04</t>
  </si>
  <si>
    <t>Augusta-Richmond County, GA-SC MSA</t>
  </si>
  <si>
    <t>Durham–Chapel Hill, NC MSA</t>
  </si>
  <si>
    <t>Harrisburg–Carlisle, PA MSA</t>
  </si>
  <si>
    <t>Jackson, MS MSA</t>
  </si>
  <si>
    <t>−2.22</t>
  </si>
  <si>
    <t>Fayetteville–Springdale–Rogers, AR MSA</t>
  </si>
  <si>
    <t>Spokane–Spokane Valley, WA MSA</t>
  </si>
  <si>
    <t>Toledo, OH MSA</t>
  </si>
  <si>
    <t>−0.80</t>
  </si>
  <si>
    <t>Chattanooga, TN-GA MSA</t>
  </si>
  <si>
    <t>New Haven, CT MSA</t>
  </si>
  <si>
    <t>Reno, NV MSA</t>
  </si>
  <si>
    <t>Scranton–Wilkes-Barre, PA MSA</t>
  </si>
  <si>
    <t>Portland–South Portland, ME MSA</t>
  </si>
  <si>
    <t>Lancaster, PA MSA</t>
  </si>
  <si>
    <t>Modesto, CA MSA</t>
  </si>
  <si>
    <t>Port St. Lucie, FL MSA</t>
  </si>
  <si>
    <t>Huntsville, AL MSA</t>
  </si>
  <si>
    <t>Pensacola–Ferry Pass–Brent, FL MSA</t>
  </si>
  <si>
    <t>Lexington-Fayette, KY MSA</t>
  </si>
  <si>
    <t>Killeen–Temple, TX MSA</t>
  </si>
  <si>
    <t>Springfield, MO MSA</t>
  </si>
  <si>
    <t>Santa Rosa–Petaluma, CA MSA</t>
  </si>
  <si>
    <t>−0.71</t>
  </si>
  <si>
    <t>Visalia, CA MSA</t>
  </si>
  <si>
    <t>Wilmington, NC MSA</t>
  </si>
  <si>
    <t>Lansing–East Lansing, MI MSA</t>
  </si>
  <si>
    <t>York–Hanover, PA MSA</t>
  </si>
  <si>
    <t>Springfield, MA MSA</t>
  </si>
  <si>
    <t>−0.36</t>
  </si>
  <si>
    <t>Fort Wayne, IN MSA</t>
  </si>
  <si>
    <t>Waterbury–Shelton, CT MSA</t>
  </si>
  <si>
    <t>Vallejo, CA MSA</t>
  </si>
  <si>
    <t>Corpus Christi, TX MSA</t>
  </si>
  <si>
    <t>Santa Maria–Santa Barbara, CA MSA</t>
  </si>
  <si>
    <t>−0.83</t>
  </si>
  <si>
    <t>Salem, OR MSA</t>
  </si>
  <si>
    <t>Reading, PA MSA</t>
  </si>
  <si>
    <t>Salinas, CA MSA</t>
  </si>
  <si>
    <t>−0.63</t>
  </si>
  <si>
    <t>Brownsville–Harlingen, TX MSA</t>
  </si>
  <si>
    <t>Savannah, GA MSA</t>
  </si>
  <si>
    <t>Manchester–Nashua, NH MSA</t>
  </si>
  <si>
    <t>Ocala, FL MSA</t>
  </si>
  <si>
    <t>Gulfport–Biloxi, MS MSA</t>
  </si>
  <si>
    <t>Youngstown–Warren, OH MSA</t>
  </si>
  <si>
    <t>−1.05</t>
  </si>
  <si>
    <t>Asheville, NC MSA</t>
  </si>
  <si>
    <t>Lafayette, LA MSA</t>
  </si>
  <si>
    <t>Naples–Marco Island, FL MSA</t>
  </si>
  <si>
    <t>Myrtle Beach–Conway–North Myrtle Beach, SC MSA</t>
  </si>
  <si>
    <t>Mobile, AL MSA</t>
  </si>
  <si>
    <t>−0.60</t>
  </si>
  <si>
    <t>Anchorage, AK MSA</t>
  </si>
  <si>
    <t>Flint, MI MSA</t>
  </si>
  <si>
    <t>−0.97</t>
  </si>
  <si>
    <t>Canton–Massillon, OH MSA</t>
  </si>
  <si>
    <t>−0.25</t>
  </si>
  <si>
    <t>Beaumont–Port Arthur, TX MSA</t>
  </si>
  <si>
    <t>Tallahassee, FL MSA</t>
  </si>
  <si>
    <t>Spartanburg, SC MSA</t>
  </si>
  <si>
    <t>Fayetteville, NC MSA</t>
  </si>
  <si>
    <t>Trenton–Princeton, NJ MSA</t>
  </si>
  <si>
    <t>Montgomery, AL MSA</t>
  </si>
  <si>
    <t>Shreveport–Bossier City, LA MSA</t>
  </si>
  <si>
    <t>−2.58</t>
  </si>
  <si>
    <t>Eugene–Springfield, OR MSA</t>
  </si>
  <si>
    <t>−0.15</t>
  </si>
  <si>
    <t>Davenport–Moline–Rock Island, IA-IL MSA</t>
  </si>
  <si>
    <t>−0.66</t>
  </si>
  <si>
    <t>Fort Collins–Loveland, CO MSA</t>
  </si>
  <si>
    <t>Ann Arbor, MI MSA</t>
  </si>
  <si>
    <t>Hickory–Lenoir–Morganton, NC MSA</t>
  </si>
  <si>
    <t>Atlantic City–Hammonton, NJ MSA</t>
  </si>
  <si>
    <t>Greeley, CO MSA</t>
  </si>
  <si>
    <t>Lubbock, TX MSA</t>
  </si>
  <si>
    <t>Huntington–Ashland, WV-KY-OH MSA</t>
  </si>
  <si>
    <t>−2.46</t>
  </si>
  <si>
    <t>Peoria, IL MSA</t>
  </si>
  <si>
    <t>−1.14</t>
  </si>
  <si>
    <t>Gainesville, FL MSA</t>
  </si>
  <si>
    <t>Lincoln, NE MSA</t>
  </si>
  <si>
    <t>Clarksville, TN-KY MSA</t>
  </si>
  <si>
    <t>Rockford, IL MSA</t>
  </si>
  <si>
    <t>−0.50</t>
  </si>
  <si>
    <t>Green Bay, WI MSA</t>
  </si>
  <si>
    <t>Boulder, CO MSA</t>
  </si>
  <si>
    <t>South Bend–Mishawaka, IN-MI MSA</t>
  </si>
  <si>
    <t>Columbus, GA-AL MSA</t>
  </si>
  <si>
    <t>−1.38</t>
  </si>
  <si>
    <t>Kennewick–Richland, WA MSA</t>
  </si>
  <si>
    <t>Roanoke, VA MSA</t>
  </si>
  <si>
    <t>Kingsport–Bristol, TN-VA MSA</t>
  </si>
  <si>
    <t>Hagerstown–Martinsburg, MD-WV MSA</t>
  </si>
  <si>
    <t>Crestview–Fort Walton Beach–Destin, FL MSA</t>
  </si>
  <si>
    <t>Sioux Falls, SD-MN MSA</t>
  </si>
  <si>
    <t>Waco, TX MSA</t>
  </si>
  <si>
    <t>Olympia–Lacey–Tumwater, WA MSA</t>
  </si>
  <si>
    <t>Merced, CA MSA</t>
  </si>
  <si>
    <t>Longview, TX MSA</t>
  </si>
  <si>
    <t>Utica–Rome, NY MSA</t>
  </si>
  <si>
    <t>−1.48</t>
  </si>
  <si>
    <t>College Station–Bryan, TX MSA</t>
  </si>
  <si>
    <t>Norwich–New London–Willimantic, CT MSA</t>
  </si>
  <si>
    <t>Tuscaloosa, AL MSA</t>
  </si>
  <si>
    <t>San Luis Obispo–Paso Robles, CA MSA</t>
  </si>
  <si>
    <t>−0.21</t>
  </si>
  <si>
    <t>Duluth, MN-WI MSA</t>
  </si>
  <si>
    <t>Bremerton–Silverdale–Port Orchard, WA MSA</t>
  </si>
  <si>
    <t>Cedar Rapids, IA MSA</t>
  </si>
  <si>
    <t>Slidell–Mandeville–Covington, LA MSA</t>
  </si>
  <si>
    <t>Amarillo, TX MSA</t>
  </si>
  <si>
    <t>Laredo, TX MSA</t>
  </si>
  <si>
    <t>Evansville, IN MSA</t>
  </si>
  <si>
    <t>Fargo, ND-MN MSA</t>
  </si>
  <si>
    <t>Erie, PA MSA</t>
  </si>
  <si>
    <t>−1.15</t>
  </si>
  <si>
    <t>Lynchburg, VA MSA</t>
  </si>
  <si>
    <t>Kalamazoo–Portage, MI MSA</t>
  </si>
  <si>
    <t>Bend, OR MSA</t>
  </si>
  <si>
    <t>Santa Cruz–Watsonville, CA MSA</t>
  </si>
  <si>
    <t>−3.12</t>
  </si>
  <si>
    <t>Daphne–Fairhope–Foley, AL MSA</t>
  </si>
  <si>
    <t>Yakima, WA MSA</t>
  </si>
  <si>
    <t>Prescott Valley–Prescott, AZ MSA</t>
  </si>
  <si>
    <t>Tyler, TX MSA</t>
  </si>
  <si>
    <t>Appleton, WI MSA</t>
  </si>
  <si>
    <t>Binghamton, NY MSA</t>
  </si>
  <si>
    <t>−1.28</t>
  </si>
  <si>
    <t>Lake Charles, LA MSA</t>
  </si>
  <si>
    <t>−4.59</t>
  </si>
  <si>
    <t>Champaign–Urbana, IL MSA</t>
  </si>
  <si>
    <t>Macon-Bibb County, GA MSA</t>
  </si>
  <si>
    <t>Hilton Head Island–Bluffton–Port Royal, SC MSA</t>
  </si>
  <si>
    <t>Bellingham, WA MSA</t>
  </si>
  <si>
    <t>Fort Smith, AR-OK MSA</t>
  </si>
  <si>
    <t>Topeka, KS MSA</t>
  </si>
  <si>
    <t>−0.22</t>
  </si>
  <si>
    <t>Barnstable Town, MA MSA</t>
  </si>
  <si>
    <t>Rochester, MN MSA</t>
  </si>
  <si>
    <t>Lafayette–West Lafayette, IN MSA</t>
  </si>
  <si>
    <t>Burlington–South Burlington, VT MSA</t>
  </si>
  <si>
    <t>Las Cruces, NM MSA</t>
  </si>
  <si>
    <t>Charlottesville, VA MSA</t>
  </si>
  <si>
    <t>Lake Havasu City–Kingman, AZ MSA</t>
  </si>
  <si>
    <t>Panama City–Panama City Beach, FL MSA</t>
  </si>
  <si>
    <t>Athens-Clarke County, GA MSA</t>
  </si>
  <si>
    <t>Monroe, LA MSA</t>
  </si>
  <si>
    <t>−2.30</t>
  </si>
  <si>
    <t>Gainesville, GA MSA</t>
  </si>
  <si>
    <t>Medford, OR MSA</t>
  </si>
  <si>
    <t>−0.86</t>
  </si>
  <si>
    <t>Yuma, AZ MSA</t>
  </si>
  <si>
    <t>Columbia, MO MSA</t>
  </si>
  <si>
    <t>Johnson City, TN MSA</t>
  </si>
  <si>
    <t>Jacksonville, NC MSA</t>
  </si>
  <si>
    <t>Punta Gorda, FL MSA</t>
  </si>
  <si>
    <t>Lexington Park, MD MSA</t>
  </si>
  <si>
    <t>Chico, CA MSA</t>
  </si>
  <si>
    <t>−1.56</t>
  </si>
  <si>
    <t>St. George, UT MSA</t>
  </si>
  <si>
    <t>Elkhart–Goshen, IN MSA</t>
  </si>
  <si>
    <t>Joplin, MO-KS MSA</t>
  </si>
  <si>
    <t>Springfield, IL MSA</t>
  </si>
  <si>
    <t>−1.12</t>
  </si>
  <si>
    <t>Auburn–Opelika, AL MSA</t>
  </si>
  <si>
    <t>St. Cloud, MN MSA</t>
  </si>
  <si>
    <t>Warner Robins, GA MSA</t>
  </si>
  <si>
    <t>Charleston, WV MSA</t>
  </si>
  <si>
    <t>−4.04</t>
  </si>
  <si>
    <t>Florence, SC MSA</t>
  </si>
  <si>
    <t>Houma–Bayou Cane–Thibodaux, LA MSA</t>
  </si>
  <si>
    <t>−3.83</t>
  </si>
  <si>
    <t>Racine–Mount Pleasant, WI MSA</t>
  </si>
  <si>
    <t>Bowling Green, KY MSA</t>
  </si>
  <si>
    <t>Dover, DE MSA</t>
  </si>
  <si>
    <t>Billings, MT MSA</t>
  </si>
  <si>
    <t>Midland, TX MSA</t>
  </si>
  <si>
    <t>Coeur d'Alene, ID MSA</t>
  </si>
  <si>
    <t>Saginaw, MI MSA</t>
  </si>
  <si>
    <t>−1.27</t>
  </si>
  <si>
    <t>Yuba City, CA MSA</t>
  </si>
  <si>
    <t>Abilene, TX MSA</t>
  </si>
  <si>
    <t>Jackson, TN MSA</t>
  </si>
  <si>
    <t>Burlington, NC MSA</t>
  </si>
  <si>
    <t>Kingston, NY MSA</t>
  </si>
  <si>
    <t>Iowa City, IA MSA</t>
  </si>
  <si>
    <t>Blacksburg–Christiansburg–Radford, VA MSA</t>
  </si>
  <si>
    <t>El Centro, CA MSA</t>
  </si>
  <si>
    <t>Redding, CA MSA</t>
  </si>
  <si>
    <t>−0.57</t>
  </si>
  <si>
    <t>Greenville, NC MSA</t>
  </si>
  <si>
    <t>Muskegon–Norton Shores, MI MSA</t>
  </si>
  <si>
    <t>Eau Claire, WI MSA</t>
  </si>
  <si>
    <t>Oshkosh–Neenah, WI MSA</t>
  </si>
  <si>
    <t>Sebastian–Vero Beach–West Vero Corridor, FL MSA</t>
  </si>
  <si>
    <t>Bloomington, IL MSA</t>
  </si>
  <si>
    <t>Idaho Falls, ID MSA</t>
  </si>
  <si>
    <t>La Crosse–Onalaska, WI-MN MSA</t>
  </si>
  <si>
    <t>Homosassa Springs, FL MSA</t>
  </si>
  <si>
    <t>Waterloo–Cedar Falls, IA MSA</t>
  </si>
  <si>
    <t>Odessa, TX MSA</t>
  </si>
  <si>
    <t>Pueblo, CO MSA</t>
  </si>
  <si>
    <t>Terre Haute, IN MSA</t>
  </si>
  <si>
    <t>Kenosha, WI MSA</t>
  </si>
  <si>
    <t>−0.23</t>
  </si>
  <si>
    <t>Janesville–Beloit, WI MSA</t>
  </si>
  <si>
    <t>Amherst Town–Northampton, MA MSA</t>
  </si>
  <si>
    <t>Kahului–Wailuku, HI MSA</t>
  </si>
  <si>
    <t>−0.65</t>
  </si>
  <si>
    <t>Bloomington, IN MSA</t>
  </si>
  <si>
    <t>Grand Junction, CO MSA</t>
  </si>
  <si>
    <t>Logan, UT-ID MSA</t>
  </si>
  <si>
    <t>Jackson, MI MSA</t>
  </si>
  <si>
    <t>−0.08</t>
  </si>
  <si>
    <t>State College, PA MSA</t>
  </si>
  <si>
    <t>Decatur, AL MSA</t>
  </si>
  <si>
    <t>Chambersburg, PA MSA</t>
  </si>
  <si>
    <t>Santa Fe, NM MSA</t>
  </si>
  <si>
    <t>Bangor, ME MSA</t>
  </si>
  <si>
    <t>Traverse City, MI MSA</t>
  </si>
  <si>
    <t>Hattiesburg, MS MSA</t>
  </si>
  <si>
    <t>Florence–Muscle Shoals, AL MSA</t>
  </si>
  <si>
    <t>Rapid City, SD MSA</t>
  </si>
  <si>
    <t>Monroe, MI MSA</t>
  </si>
  <si>
    <t>Vineland, NJ MSA</t>
  </si>
  <si>
    <t>Hanford–Corcoran, CA MSA</t>
  </si>
  <si>
    <t>Dothan, AL MSA</t>
  </si>
  <si>
    <t>Wildwood–The Villages, FL MSA</t>
  </si>
  <si>
    <t>Niles, MI MSA</t>
  </si>
  <si>
    <t>Valdosta, GA MSA</t>
  </si>
  <si>
    <t>Jefferson City, MO MSA</t>
  </si>
  <si>
    <t>Sherman–Denison, TX MSA</t>
  </si>
  <si>
    <t>Wichita Falls, TX MSA</t>
  </si>
  <si>
    <t>Winchester, VA-WV MSA</t>
  </si>
  <si>
    <t>Alexandria, LA MSA</t>
  </si>
  <si>
    <t>−2.75</t>
  </si>
  <si>
    <t>Rocky Mount, NC MSA</t>
  </si>
  <si>
    <t>Dalton, GA MSA</t>
  </si>
  <si>
    <t>Sioux City, IA-NE-SD MSA</t>
  </si>
  <si>
    <t>Texarkana, TX-AR MSA</t>
  </si>
  <si>
    <t>−1.32</t>
  </si>
  <si>
    <t>Albany, GA MSA</t>
  </si>
  <si>
    <t>−2.33</t>
  </si>
  <si>
    <t>Lebanon, PA MSA</t>
  </si>
  <si>
    <t>Flagstaff, AZ MSA</t>
  </si>
  <si>
    <t>Morgantown, WV MSA</t>
  </si>
  <si>
    <t>Hammond, LA MSA</t>
  </si>
  <si>
    <t>Bismarck, ND MSA</t>
  </si>
  <si>
    <t>Wausau, WI MSA</t>
  </si>
  <si>
    <t>Harrisonburg, VA MSA</t>
  </si>
  <si>
    <t>Jonesboro, AR MSA</t>
  </si>
  <si>
    <t>Wheeling, WV-OH MSA</t>
  </si>
  <si>
    <t>−3.14</t>
  </si>
  <si>
    <t>Springfield, OH MSA</t>
  </si>
  <si>
    <t>−0.75</t>
  </si>
  <si>
    <t>Manhattan, KS MSA</t>
  </si>
  <si>
    <t>Battle Creek, MI MSA</t>
  </si>
  <si>
    <t>−0.39</t>
  </si>
  <si>
    <t>Mount Vernon–Anacortes, WA MSA</t>
  </si>
  <si>
    <t>Napa, CA MSA</t>
  </si>
  <si>
    <t>Albany, OR MSA</t>
  </si>
  <si>
    <t>Cleveland, TN MSA</t>
  </si>
  <si>
    <t>Salisbury, MD MSA</t>
  </si>
  <si>
    <t>Johnstown, PA MSA</t>
  </si>
  <si>
    <t>−2.52</t>
  </si>
  <si>
    <t>Ames, IA MSA</t>
  </si>
  <si>
    <t>Pittsfield, MA MSA</t>
  </si>
  <si>
    <t>Staunton–Stuarts Draft, VA MSA</t>
  </si>
  <si>
    <t>Elizabethtown, KY MSA</t>
  </si>
  <si>
    <t>Missoula, MT MSA</t>
  </si>
  <si>
    <t>Wenatchee–East Wenatchee, WA MSA</t>
  </si>
  <si>
    <t>Bozeman, MT MSA</t>
  </si>
  <si>
    <t>Morristown, TN MSA</t>
  </si>
  <si>
    <t>Lawton, OK MSA</t>
  </si>
  <si>
    <t>Sierra Vista–Douglas, AZ MSA</t>
  </si>
  <si>
    <t>Glens Falls, NY MSA</t>
  </si>
  <si>
    <t>−1.51</t>
  </si>
  <si>
    <t>Mansfield, OH MSA</t>
  </si>
  <si>
    <t>−0.07</t>
  </si>
  <si>
    <t>Twin Falls, ID MSA</t>
  </si>
  <si>
    <t>Lawrence, KS MSA</t>
  </si>
  <si>
    <t>San Angelo, TX MSA</t>
  </si>
  <si>
    <t>Farmington, NM MSA</t>
  </si>
  <si>
    <t>−0.69</t>
  </si>
  <si>
    <t>Goldsboro, NC MSA</t>
  </si>
  <si>
    <t>Altoona, PA MSA</t>
  </si>
  <si>
    <t>−2.08</t>
  </si>
  <si>
    <t>St. Joseph, MO-KS MSA</t>
  </si>
  <si>
    <t>−1.93</t>
  </si>
  <si>
    <t>Sheboygan, WI MSA</t>
  </si>
  <si>
    <t>Brunswick–St. Simons, GA MSA</t>
  </si>
  <si>
    <t>Anniston–Oxford, AL MSA</t>
  </si>
  <si>
    <t>−0.01</t>
  </si>
  <si>
    <t>Lewiston–Auburn, ME MSA</t>
  </si>
  <si>
    <t>Longview–Kelso, WA MSA</t>
  </si>
  <si>
    <t>Owensboro, KY MSA</t>
  </si>
  <si>
    <t>Sandusky, OH MSA</t>
  </si>
  <si>
    <t>−2.11</t>
  </si>
  <si>
    <t>Weirton–Steubenville, WV-OH MSA</t>
  </si>
  <si>
    <t>−3.13</t>
  </si>
  <si>
    <t>Williamsport, PA MSA</t>
  </si>
  <si>
    <t>Watertown–Fort Drum, NY MSA</t>
  </si>
  <si>
    <t>−3.07</t>
  </si>
  <si>
    <t>Muncie, IN MSA</t>
  </si>
  <si>
    <t>Michigan City–La Porte, IN MSA</t>
  </si>
  <si>
    <t>−0.95</t>
  </si>
  <si>
    <t>Beckley, WV MSA</t>
  </si>
  <si>
    <t>−3.56</t>
  </si>
  <si>
    <t>Sebring, FL MSA</t>
  </si>
  <si>
    <t>Pinehurst–Southern Pines, NC MSA</t>
  </si>
  <si>
    <t>Gettysburg, PA MSA</t>
  </si>
  <si>
    <t>Kankakee, IL MSA</t>
  </si>
  <si>
    <t>−1.02</t>
  </si>
  <si>
    <t>Ithaca, NY MSA</t>
  </si>
  <si>
    <t>−0.13</t>
  </si>
  <si>
    <t>Mankato, MN MSA</t>
  </si>
  <si>
    <t>Sumter, SC MSA</t>
  </si>
  <si>
    <t>−0.74</t>
  </si>
  <si>
    <t>Fond du Lac, WI MSA</t>
  </si>
  <si>
    <t>Grand Forks, ND-MN MSA</t>
  </si>
  <si>
    <t>−0.17</t>
  </si>
  <si>
    <t>Gadsden, AL MSA</t>
  </si>
  <si>
    <t>Bay City, MI MSA</t>
  </si>
  <si>
    <t>−1.16</t>
  </si>
  <si>
    <t>Paducah, KY-IL MSA</t>
  </si>
  <si>
    <t>Cheyenne, WY MSA</t>
  </si>
  <si>
    <t>Rome, GA MSA</t>
  </si>
  <si>
    <t>Lima, OH MSA</t>
  </si>
  <si>
    <t>−1.31</t>
  </si>
  <si>
    <t>Decatur, IL MSA</t>
  </si>
  <si>
    <t>Hot Springs, AR MSA</t>
  </si>
  <si>
    <t>−0.28</t>
  </si>
  <si>
    <t>Dubuque, IA MSA</t>
  </si>
  <si>
    <t>−0.02</t>
  </si>
  <si>
    <t>Victoria, TX MSA</t>
  </si>
  <si>
    <t>Corvallis, OR MSA</t>
  </si>
  <si>
    <t>Cape Girardeau, MO-IL MSA</t>
  </si>
  <si>
    <t>Helena, MT MSA</t>
  </si>
  <si>
    <t>Fairbanks–College, AK MSA</t>
  </si>
  <si>
    <t>Pocatello, ID MSA</t>
  </si>
  <si>
    <t>Hinesville, GA MSA</t>
  </si>
  <si>
    <t>Grants Pass, OR MSA</t>
  </si>
  <si>
    <t>Parkersburg–Vienna, WV MSA</t>
  </si>
  <si>
    <t>−2.02</t>
  </si>
  <si>
    <t>Columbus, IN MSA</t>
  </si>
  <si>
    <t>Great Falls, MT MSA</t>
  </si>
  <si>
    <t>Kokomo, IN MSA</t>
  </si>
  <si>
    <t>Midland, MI MSA</t>
  </si>
  <si>
    <t>Elmira, NY MSA</t>
  </si>
  <si>
    <t>−3.60</t>
  </si>
  <si>
    <t>Casper, WY MSA</t>
  </si>
  <si>
    <t>Grand Island, NE MSA</t>
  </si>
  <si>
    <t>Minot, ND MSA</t>
  </si>
  <si>
    <t>−2.07</t>
  </si>
  <si>
    <t>Lewiston, ID-WA MSA</t>
  </si>
  <si>
    <t>Walla Walla, WA MSA</t>
  </si>
  <si>
    <t>−0.82</t>
  </si>
  <si>
    <t>Enid, OK MSA</t>
  </si>
  <si>
    <t>−1.34</t>
  </si>
  <si>
    <t>Eagle Pass, TX MSA</t>
  </si>
  <si>
    <t>Carson City, NV MSA</t>
  </si>
  <si>
    <t>−0.84</t>
  </si>
  <si>
    <t xml:space="preserve"> % of Population between 15 - 44 Years</t>
  </si>
  <si>
    <t>Per Capita personal income in 2023</t>
  </si>
  <si>
    <t>Rank within United States 2023</t>
  </si>
  <si>
    <t>San Jose-Sunnyvale-Santa Clara, CA</t>
  </si>
  <si>
    <t>Midland, TX</t>
  </si>
  <si>
    <t>Bridgeport-Stamford-Norwalk, CT</t>
  </si>
  <si>
    <t>Naples-Marco Island, FL</t>
  </si>
  <si>
    <t>Sebastian-Vero Beach, FL</t>
  </si>
  <si>
    <t>Boulder, CO</t>
  </si>
  <si>
    <t>Napa, CA</t>
  </si>
  <si>
    <t>Barnstable Town, MA</t>
  </si>
  <si>
    <t>Charlottesville, VA</t>
  </si>
  <si>
    <t>Fayetteville-Springdale-Rogers, AR</t>
  </si>
  <si>
    <t>Santa Cruz-Watsonville, CA</t>
  </si>
  <si>
    <t>Trenton-Princeton, NJ</t>
  </si>
  <si>
    <t>Santa Rosa-Petaluma, CA</t>
  </si>
  <si>
    <t>Santa Maria-Santa Barbara, CA</t>
  </si>
  <si>
    <t>Reno, NV</t>
  </si>
  <si>
    <t>Bend, OR</t>
  </si>
  <si>
    <t>Casper, WY</t>
  </si>
  <si>
    <t>Ocean City, NJ</t>
  </si>
  <si>
    <t>Sioux Falls, SD</t>
  </si>
  <si>
    <t>Oxnard-Thousand Oaks-Ventura, CA</t>
  </si>
  <si>
    <t>Portland-South Portland, ME</t>
  </si>
  <si>
    <t>Santa Fe, NM</t>
  </si>
  <si>
    <t>Ann Arbor, MI</t>
  </si>
  <si>
    <t>Baltimore-Columbia-Towson, MD</t>
  </si>
  <si>
    <t>Manchester-Nashua, NH</t>
  </si>
  <si>
    <t>Madison, WI</t>
  </si>
  <si>
    <t>Hilton Head Island-Bluffton, SC</t>
  </si>
  <si>
    <t>Hartford-East Hartford-Middletown, CT</t>
  </si>
  <si>
    <t>Raleigh-Cary, NC</t>
  </si>
  <si>
    <t>North Port-Sarasota-Bradenton, FL</t>
  </si>
  <si>
    <t>Bremerton-Silverdale-Port Orchard, WA</t>
  </si>
  <si>
    <t>Anchorage, AK</t>
  </si>
  <si>
    <t>Port St. Lucie, FL</t>
  </si>
  <si>
    <t>San Luis Obispo-Paso Robles, CA</t>
  </si>
  <si>
    <t>Bismarck, ND</t>
  </si>
  <si>
    <t>Albany-Schenectady-Troy, NY</t>
  </si>
  <si>
    <t>Burlington-South Burlington, VT</t>
  </si>
  <si>
    <t>Richmond, VA</t>
  </si>
  <si>
    <t>Fort Collins, CO</t>
  </si>
  <si>
    <t>The Villages, FL</t>
  </si>
  <si>
    <t>Pittsfield, MA</t>
  </si>
  <si>
    <t>California-Lexington Park, MD</t>
  </si>
  <si>
    <t>Rapid City, SD</t>
  </si>
  <si>
    <t>Crestview-Fort Walton Beach-Destin, FL</t>
  </si>
  <si>
    <t>Urban Honolulu, HI</t>
  </si>
  <si>
    <t>Fairbanks, AK</t>
  </si>
  <si>
    <t>Norwich-New London, CT</t>
  </si>
  <si>
    <t>Tulsa, OK</t>
  </si>
  <si>
    <t>Salinas, CA</t>
  </si>
  <si>
    <t>Billings, MT</t>
  </si>
  <si>
    <t>Durham-Chapel Hill, NC</t>
  </si>
  <si>
    <t>Rochester, MN</t>
  </si>
  <si>
    <t>Charleston-North Charleston, SC</t>
  </si>
  <si>
    <t>Des Moines-West Des Moines, IA</t>
  </si>
  <si>
    <t>New Haven-Milford, CT</t>
  </si>
  <si>
    <t>Missoula, MT</t>
  </si>
  <si>
    <t>Fargo, ND-MN</t>
  </si>
  <si>
    <t>Worcester, MA-CT</t>
  </si>
  <si>
    <t>Providence-Warwick, RI-MA</t>
  </si>
  <si>
    <t>Mount Vernon-Anacortes, WA</t>
  </si>
  <si>
    <t>Tyler, TX</t>
  </si>
  <si>
    <t>Lancaster, PA</t>
  </si>
  <si>
    <t>Birmingham-Hoover, AL</t>
  </si>
  <si>
    <t>Allentown-Bethlehem-Easton, PA-NJ</t>
  </si>
  <si>
    <t>Lincoln, NE</t>
  </si>
  <si>
    <t>Kingston, NY</t>
  </si>
  <si>
    <t>Olympia-Lacey-Tumwater, WA</t>
  </si>
  <si>
    <t>Cape Coral-Fort Myers, FL</t>
  </si>
  <si>
    <t>Colorado Springs, CO</t>
  </si>
  <si>
    <t>San Angelo, TX</t>
  </si>
  <si>
    <t>Columbus, IN</t>
  </si>
  <si>
    <t>Iowa City, IA</t>
  </si>
  <si>
    <t>Grand Rapids-Kentwood, MI</t>
  </si>
  <si>
    <t>Sioux City, IA-NE-SD</t>
  </si>
  <si>
    <t>Cheyenne, WY</t>
  </si>
  <si>
    <t>Poughkeepsie-Newburgh-Middletown, NY</t>
  </si>
  <si>
    <t>Vallejo, CA</t>
  </si>
  <si>
    <t>Springfield, MA</t>
  </si>
  <si>
    <t>Appleton, WI</t>
  </si>
  <si>
    <t>Midland, MI</t>
  </si>
  <si>
    <t>Huntsville, AL</t>
  </si>
  <si>
    <t>Harrisburg-Carlisle, PA</t>
  </si>
  <si>
    <t>Coeur d'Alene, ID</t>
  </si>
  <si>
    <t>Sheboygan, WI</t>
  </si>
  <si>
    <t>Boise City, ID</t>
  </si>
  <si>
    <t>Kalamazoo-Portage, MI</t>
  </si>
  <si>
    <t>Green Bay, WI</t>
  </si>
  <si>
    <t>Carson City, NV</t>
  </si>
  <si>
    <t>Cedar Rapids, IA</t>
  </si>
  <si>
    <t>Dubuque, IA</t>
  </si>
  <si>
    <t>Lexington-Fayette, KY</t>
  </si>
  <si>
    <t>Akron, OH</t>
  </si>
  <si>
    <t>Kahului-Wailuku-Lahaina, HI</t>
  </si>
  <si>
    <t>Racine, WI</t>
  </si>
  <si>
    <t>Medford, OR</t>
  </si>
  <si>
    <t>Greeley, CO</t>
  </si>
  <si>
    <t>La Crosse-Onalaska, WI-MN</t>
  </si>
  <si>
    <t>Wenatchee, WA</t>
  </si>
  <si>
    <t>Grand Forks, ND-MN</t>
  </si>
  <si>
    <t>Wilmington, NC</t>
  </si>
  <si>
    <t>Knoxville, TN</t>
  </si>
  <si>
    <t>Winchester, VA-WV</t>
  </si>
  <si>
    <t>Bellingham, WA</t>
  </si>
  <si>
    <t>Salisbury, MD-DE</t>
  </si>
  <si>
    <t>Asheville, NC</t>
  </si>
  <si>
    <t>Flagstaff, AZ</t>
  </si>
  <si>
    <t>Baton Rouge, LA</t>
  </si>
  <si>
    <t>Rochester, NY</t>
  </si>
  <si>
    <t>Eugene-Springfield, OR</t>
  </si>
  <si>
    <t>St. Cloud, MN</t>
  </si>
  <si>
    <t>Wausau-Weston, WI</t>
  </si>
  <si>
    <t>Evansville, IN-KY</t>
  </si>
  <si>
    <t>Reading, PA</t>
  </si>
  <si>
    <t>Bloomington, IL</t>
  </si>
  <si>
    <t>Shreveport-Bossier City, LA</t>
  </si>
  <si>
    <t>Niles, MI</t>
  </si>
  <si>
    <t>Buffalo-Cheektowaga, NY</t>
  </si>
  <si>
    <t>Peoria, IL</t>
  </si>
  <si>
    <t>Daphne-Fairhope-Foley, AL</t>
  </si>
  <si>
    <t>York-Hanover, PA</t>
  </si>
  <si>
    <t>Syracuse, NY</t>
  </si>
  <si>
    <t>Grand Island, NE</t>
  </si>
  <si>
    <t>Atlantic City-Hammonton, NJ</t>
  </si>
  <si>
    <t>Springfield, IL</t>
  </si>
  <si>
    <t>Wichita, KS</t>
  </si>
  <si>
    <t>Fort Wayne, IN</t>
  </si>
  <si>
    <t>Corvallis, OR</t>
  </si>
  <si>
    <t>Amarillo, TX</t>
  </si>
  <si>
    <t>Oshkosh-Neenah, WI</t>
  </si>
  <si>
    <t>Palm Bay-Melbourne-Titusville, FL</t>
  </si>
  <si>
    <t>Davenport-Moline-Rock Island, IA-IL</t>
  </si>
  <si>
    <t>Great Falls, MT</t>
  </si>
  <si>
    <t>Gainesville, GA</t>
  </si>
  <si>
    <t>Decatur, IL</t>
  </si>
  <si>
    <t>Fond du Lac, WI</t>
  </si>
  <si>
    <t>Monroe, MI</t>
  </si>
  <si>
    <t>Dayton-Kettering, OH</t>
  </si>
  <si>
    <t>Roanoke, VA</t>
  </si>
  <si>
    <t>Champaign-Urbana, IL</t>
  </si>
  <si>
    <t>Little Rock-North Little Rock-Conway, AR</t>
  </si>
  <si>
    <t>Stockton, CA</t>
  </si>
  <si>
    <t>Columbia, MO</t>
  </si>
  <si>
    <t>Victoria, TX</t>
  </si>
  <si>
    <t>Eau Claire, WI</t>
  </si>
  <si>
    <t>Ogden-Clearfield, UT</t>
  </si>
  <si>
    <t>Glens Falls, NY</t>
  </si>
  <si>
    <t>Odessa, TX</t>
  </si>
  <si>
    <t>Gettysburg, PA</t>
  </si>
  <si>
    <t>Lebanon, PA</t>
  </si>
  <si>
    <t>Chattanooga, TN-GA</t>
  </si>
  <si>
    <t>Elkhart-Goshen, IN</t>
  </si>
  <si>
    <t>Chambersburg-Waynesboro, PA</t>
  </si>
  <si>
    <t>Tucson, AZ</t>
  </si>
  <si>
    <t>Toledo, OH</t>
  </si>
  <si>
    <t>Parkersburg-Vienna, WV</t>
  </si>
  <si>
    <t>Jackson, MS</t>
  </si>
  <si>
    <t>Savannah, GA</t>
  </si>
  <si>
    <t>Columbia, SC</t>
  </si>
  <si>
    <t>Longview, WA</t>
  </si>
  <si>
    <t>Lafayette, LA</t>
  </si>
  <si>
    <t>Spokane-Spokane Valley, WA</t>
  </si>
  <si>
    <t>Topeka, KS</t>
  </si>
  <si>
    <t>State College, PA</t>
  </si>
  <si>
    <t>Altoona, PA</t>
  </si>
  <si>
    <t>Salem, OR</t>
  </si>
  <si>
    <t>Grand Junction, CO</t>
  </si>
  <si>
    <t>Redding, CA</t>
  </si>
  <si>
    <t>Brunswick, GA</t>
  </si>
  <si>
    <t>Provo-Orem, UT</t>
  </si>
  <si>
    <t>Idaho Falls, ID</t>
  </si>
  <si>
    <t>New Bern, NC</t>
  </si>
  <si>
    <t>Duluth, MN-WI</t>
  </si>
  <si>
    <t>Deltona-Daytona Beach-Ormond Beach, FL</t>
  </si>
  <si>
    <t>Waterloo-Cedar Falls, IA</t>
  </si>
  <si>
    <t>Winston-Salem, NC</t>
  </si>
  <si>
    <t>Albany-Lebanon, OR</t>
  </si>
  <si>
    <t>South Bend-Mishawaka, IN-MI</t>
  </si>
  <si>
    <t>Greenville, NC</t>
  </si>
  <si>
    <t>Pensacola-Ferry Pass-Brent, FL</t>
  </si>
  <si>
    <t>Jefferson City, MO</t>
  </si>
  <si>
    <t>Chico, CA</t>
  </si>
  <si>
    <t>Lawrence, KS</t>
  </si>
  <si>
    <t>Mankato, MN</t>
  </si>
  <si>
    <t>Lewiston, ID-WA</t>
  </si>
  <si>
    <t>Bloomington, IN</t>
  </si>
  <si>
    <t>Canton-Massillon, OH</t>
  </si>
  <si>
    <t>Bloomsburg-Berwick, PA</t>
  </si>
  <si>
    <t>Wheeling, WV-OH</t>
  </si>
  <si>
    <t>Walla Walla, WA</t>
  </si>
  <si>
    <t>Janesville-Beloit, WI</t>
  </si>
  <si>
    <t>Corpus Christi, TX</t>
  </si>
  <si>
    <t>Manhattan, KS</t>
  </si>
  <si>
    <t>Wichita Falls, TX</t>
  </si>
  <si>
    <t>Charleston, WV</t>
  </si>
  <si>
    <t>Panama City, FL</t>
  </si>
  <si>
    <t>Abilene, TX</t>
  </si>
  <si>
    <t>Greensboro-High Point, NC</t>
  </si>
  <si>
    <t>Sherman-Denison, TX</t>
  </si>
  <si>
    <t>Staunton, VA</t>
  </si>
  <si>
    <t>Prescott Valley-Prescott, AZ</t>
  </si>
  <si>
    <t>Ames, IA</t>
  </si>
  <si>
    <t>Greenville-Anderson, SC</t>
  </si>
  <si>
    <t>Houma-Thibodaux, LA</t>
  </si>
  <si>
    <t>Tallahassee, FL</t>
  </si>
  <si>
    <t>Punta Gorda, FL</t>
  </si>
  <si>
    <t>Utica-Rome, NY</t>
  </si>
  <si>
    <t>Hagerstown-Martinsburg, MD-WV</t>
  </si>
  <si>
    <t>Grants Pass, OR</t>
  </si>
  <si>
    <t>Morgantown, WV</t>
  </si>
  <si>
    <t>Watertown-Fort Drum, NY</t>
  </si>
  <si>
    <t>Scranton--Wilkes-Barre, PA</t>
  </si>
  <si>
    <t>East Stroudsburg, PA</t>
  </si>
  <si>
    <t>Erie, PA</t>
  </si>
  <si>
    <t>Lubbock, TX</t>
  </si>
  <si>
    <t>St. George, UT</t>
  </si>
  <si>
    <t>Lake Charles, LA</t>
  </si>
  <si>
    <t>Rockford, IL</t>
  </si>
  <si>
    <t>Myrtle Beach-Conway-North Myrtle Beach, SC-NC</t>
  </si>
  <si>
    <t>Gainesville, FL</t>
  </si>
  <si>
    <t>Ithaca, NY</t>
  </si>
  <si>
    <t>Kennewick-Richland, WA</t>
  </si>
  <si>
    <t>Lima, OH</t>
  </si>
  <si>
    <t>Bangor, ME</t>
  </si>
  <si>
    <t>Elmira, NY</t>
  </si>
  <si>
    <t>Cape Girardeau, MO-IL</t>
  </si>
  <si>
    <t>Lansing-East Lansing, MI</t>
  </si>
  <si>
    <t>Alexandria, LA</t>
  </si>
  <si>
    <t>Lewiston-Auburn, ME</t>
  </si>
  <si>
    <t>Elizabethtown-Fort Knox, KY</t>
  </si>
  <si>
    <t>Spartanburg, SC</t>
  </si>
  <si>
    <t>Kankakee, IL</t>
  </si>
  <si>
    <t>Williamsport, PA</t>
  </si>
  <si>
    <t>Jacksonville, NC</t>
  </si>
  <si>
    <t>Waco, TX</t>
  </si>
  <si>
    <t>Springfield, MO</t>
  </si>
  <si>
    <t>Longview, TX</t>
  </si>
  <si>
    <t>Florence, SC</t>
  </si>
  <si>
    <t>Sierra Vista-Douglas, AZ</t>
  </si>
  <si>
    <t>Montgomery, AL</t>
  </si>
  <si>
    <t>Athens-Clarke County, GA</t>
  </si>
  <si>
    <t>Michigan City-La Porte, IN</t>
  </si>
  <si>
    <t>Owensboro, KY</t>
  </si>
  <si>
    <t>Modesto, CA</t>
  </si>
  <si>
    <t>Fresno, CA</t>
  </si>
  <si>
    <t>Binghamton, NY</t>
  </si>
  <si>
    <t>Bay City, MI</t>
  </si>
  <si>
    <t>Riverside-San Bernardino-Ontario, CA</t>
  </si>
  <si>
    <t>Flint, MI</t>
  </si>
  <si>
    <t>Dothan, AL</t>
  </si>
  <si>
    <t>Hot Springs, AR</t>
  </si>
  <si>
    <t>Dover, DE</t>
  </si>
  <si>
    <t>Yuba City, CA</t>
  </si>
  <si>
    <t>Jackson, TN</t>
  </si>
  <si>
    <t>Hickory-Lenoir-Morganton, NC</t>
  </si>
  <si>
    <t>Augusta-Richmond County, GA-SC</t>
  </si>
  <si>
    <t>Carbondale-Marion, IL</t>
  </si>
  <si>
    <t>Youngstown-Warren-Boardman, OH-PA</t>
  </si>
  <si>
    <t>St. Joseph, MO-KS</t>
  </si>
  <si>
    <t>Johnson City, TN</t>
  </si>
  <si>
    <t>Harrisonburg, VA</t>
  </si>
  <si>
    <t>Lawton, OK</t>
  </si>
  <si>
    <t>College Station-Bryan, TX</t>
  </si>
  <si>
    <t>Yakima, WA</t>
  </si>
  <si>
    <t>Danville, IL</t>
  </si>
  <si>
    <t>Beaumont-Port Arthur, TX</t>
  </si>
  <si>
    <t>Burlington, NC</t>
  </si>
  <si>
    <t>Rocky Mount, NC</t>
  </si>
  <si>
    <t>Huntington-Ashland, WV-KY-OH</t>
  </si>
  <si>
    <t>Lynchburg, VA</t>
  </si>
  <si>
    <t>Lafayette-West Lafayette, IN</t>
  </si>
  <si>
    <t>Enid, OK</t>
  </si>
  <si>
    <t>Clarksville, TN-KY</t>
  </si>
  <si>
    <t>Johnstown, PA</t>
  </si>
  <si>
    <t>Kingsport-Bristol, TN-VA</t>
  </si>
  <si>
    <t>Twin Falls, ID</t>
  </si>
  <si>
    <t>Hammond, LA</t>
  </si>
  <si>
    <t>Goldsboro, NC</t>
  </si>
  <si>
    <t>Weirton-Steubenville, WV-OH</t>
  </si>
  <si>
    <t>Springfield, OH</t>
  </si>
  <si>
    <t>Blacksburg-Christiansburg, VA</t>
  </si>
  <si>
    <t>Mobile, AL</t>
  </si>
  <si>
    <t>Kokomo, IN</t>
  </si>
  <si>
    <t>Killeen-Temple, TX</t>
  </si>
  <si>
    <t>Saginaw, MI</t>
  </si>
  <si>
    <t>Beckley, WV</t>
  </si>
  <si>
    <t>Logan, UT-ID</t>
  </si>
  <si>
    <t>Pocatello, ID</t>
  </si>
  <si>
    <t>Columbus, GA-AL</t>
  </si>
  <si>
    <t>Warner Robins, GA</t>
  </si>
  <si>
    <t>Sumter, SC</t>
  </si>
  <si>
    <t>Vineland-Bridgeton, NJ</t>
  </si>
  <si>
    <t>Monroe, LA</t>
  </si>
  <si>
    <t>Cumberland, MD-WV</t>
  </si>
  <si>
    <t>Muskegon, MI</t>
  </si>
  <si>
    <t>Jonesboro, AR</t>
  </si>
  <si>
    <t>Cleveland, TN</t>
  </si>
  <si>
    <t>Pueblo, CO</t>
  </si>
  <si>
    <t>Jackson, MI</t>
  </si>
  <si>
    <t>Morristown, TN</t>
  </si>
  <si>
    <t>Terre Haute, IN</t>
  </si>
  <si>
    <t>Albany, GA</t>
  </si>
  <si>
    <t>Macon-Bibb County, GA</t>
  </si>
  <si>
    <t>Decatur, AL</t>
  </si>
  <si>
    <t>Auburn-Opelika, AL</t>
  </si>
  <si>
    <t>Gulfport-Biloxi, MS</t>
  </si>
  <si>
    <t>Visalia, CA</t>
  </si>
  <si>
    <t>Mansfield, OH</t>
  </si>
  <si>
    <t>El Centro, CA</t>
  </si>
  <si>
    <t>Battle Creek, MI</t>
  </si>
  <si>
    <t>Texarkana, TX-AR</t>
  </si>
  <si>
    <t>Hattiesburg, MS</t>
  </si>
  <si>
    <t>Las Cruces, NM</t>
  </si>
  <si>
    <t>Muncie, IN</t>
  </si>
  <si>
    <t>Joplin, MO</t>
  </si>
  <si>
    <t>Fayetteville, NC</t>
  </si>
  <si>
    <t>Bakersfield, CA</t>
  </si>
  <si>
    <t>Fort Smith, AR-OK</t>
  </si>
  <si>
    <t>Homosassa Springs, FL</t>
  </si>
  <si>
    <t>Florence-Muscle Shoals, AL</t>
  </si>
  <si>
    <t>Bowling Green, KY</t>
  </si>
  <si>
    <t>Lake Havasu City-Kingman, AZ</t>
  </si>
  <si>
    <t>El Paso, TX</t>
  </si>
  <si>
    <t>Rome, GA</t>
  </si>
  <si>
    <t>Madera, CA</t>
  </si>
  <si>
    <t>Ocala, FL</t>
  </si>
  <si>
    <t>Merced, CA</t>
  </si>
  <si>
    <t>Yuma, AZ</t>
  </si>
  <si>
    <t>Farmington, NM</t>
  </si>
  <si>
    <t>Dalton, GA</t>
  </si>
  <si>
    <t>Gadsden, AL</t>
  </si>
  <si>
    <t>Anniston-Oxford, AL</t>
  </si>
  <si>
    <t>Lakeland-Winter Haven, FL</t>
  </si>
  <si>
    <t>Tuscaloosa, AL</t>
  </si>
  <si>
    <t>Valdosta, GA</t>
  </si>
  <si>
    <t>Sebring-Avon Park, FL</t>
  </si>
  <si>
    <t>Hanford-Corcoran, CA</t>
  </si>
  <si>
    <t>Laredo, TX</t>
  </si>
  <si>
    <t>Pine Bluff, AR</t>
  </si>
  <si>
    <t>Hinesville, GA</t>
  </si>
  <si>
    <t>Brownsville-Harlingen, TX</t>
  </si>
  <si>
    <t>McAllen-Edinburg-Mission, TX</t>
  </si>
  <si>
    <t>Market</t>
  </si>
  <si>
    <t>Rank</t>
  </si>
  <si>
    <t>Raleigh-Durham-Fayetteville</t>
  </si>
  <si>
    <t>Baltimore</t>
  </si>
  <si>
    <t>Hartford-New Haven</t>
  </si>
  <si>
    <t>Greenville-Spartanburg-Asheville-Anderson</t>
  </si>
  <si>
    <t>West Palm Beach-Fort Pierce</t>
  </si>
  <si>
    <t>Harrisburg-Lancaster-Lebanon-York</t>
  </si>
  <si>
    <t>Grand Rapids-Kalamazoo-Battle Creek</t>
  </si>
  <si>
    <t>Birmingham-Anniston-Tuscaloosa</t>
  </si>
  <si>
    <t>Greensboro-High Point-Winston Salem</t>
  </si>
  <si>
    <t>Providence-New Bedford</t>
  </si>
  <si>
    <t>Fort Myers-Naples</t>
  </si>
  <si>
    <t>Buffalo</t>
  </si>
  <si>
    <t>Fresno-Visalia</t>
  </si>
  <si>
    <t>Richmond-Petersburg</t>
  </si>
  <si>
    <t>Mobile-Pensacola-Fort Walton Beach</t>
  </si>
  <si>
    <t>Little Rock-Pine Bluff</t>
  </si>
  <si>
    <t>Wilkes Barre-Scranton-Hazleton</t>
  </si>
  <si>
    <t>Knoxville</t>
  </si>
  <si>
    <t>Tulsa</t>
  </si>
  <si>
    <t>Albany-Schenectady-Troy</t>
  </si>
  <si>
    <t>Lexington</t>
  </si>
  <si>
    <t>Dayton</t>
  </si>
  <si>
    <t>Tucson-Sierra Vista</t>
  </si>
  <si>
    <t>Spokane</t>
  </si>
  <si>
    <t>Des Moines-Ames</t>
  </si>
  <si>
    <t>Green Bay-Appleton</t>
  </si>
  <si>
    <t>Honolulu</t>
  </si>
  <si>
    <t>Roanoke-Lynchburg</t>
  </si>
  <si>
    <t>Wichita-Hutchinson Plus</t>
  </si>
  <si>
    <t>Flint-Saginaw-Bay City</t>
  </si>
  <si>
    <t>Huntsville-Decatur-Florence</t>
  </si>
  <si>
    <t>Madison</t>
  </si>
  <si>
    <t>Portland-Auburn</t>
  </si>
  <si>
    <t>Harlingen-Weslaco-Brownsville-McAllen</t>
  </si>
  <si>
    <t>Toledo</t>
  </si>
  <si>
    <t>Charleston-Huntington</t>
  </si>
  <si>
    <t>Waco-Temple-Bryan</t>
  </si>
  <si>
    <t>Savannah</t>
  </si>
  <si>
    <t>Charleston, SC</t>
  </si>
  <si>
    <t>Chattanooga</t>
  </si>
  <si>
    <t>Colorado Springs-Pueblo</t>
  </si>
  <si>
    <t>Syracuse</t>
  </si>
  <si>
    <t>El Paso-Las Cruces</t>
  </si>
  <si>
    <t>Paducah-Cape Girardeau-Harrisburg</t>
  </si>
  <si>
    <t>Shreveport</t>
  </si>
  <si>
    <t>Champaign-Springfield-Decatur</t>
  </si>
  <si>
    <t>Burlington-Plattsburgh</t>
  </si>
  <si>
    <t>Cedar Rapids-Waterloo-Iowa City-Dubuque</t>
  </si>
  <si>
    <t>Baton Rouge</t>
  </si>
  <si>
    <t>Fort Smith-Fayetteville-Springdale-Rogers</t>
  </si>
  <si>
    <t>Myrtle Beach-Florence</t>
  </si>
  <si>
    <t>Boise</t>
  </si>
  <si>
    <t>South Bend-Elkhart</t>
  </si>
  <si>
    <t>Tri-Cities</t>
  </si>
  <si>
    <t>Greenville-New Bern-Washington</t>
  </si>
  <si>
    <t>Reno</t>
  </si>
  <si>
    <t>Davenport-Rock Island-Moline</t>
  </si>
  <si>
    <t>Tallahassee-Thomasville</t>
  </si>
  <si>
    <t>Tyler-Longview-Lufkin-Nacogdoches</t>
  </si>
  <si>
    <t>Lincoln-Hastings-Kearney</t>
  </si>
  <si>
    <t>Augusta-Aiken</t>
  </si>
  <si>
    <t>Evansville</t>
  </si>
  <si>
    <t>Fort Wayne</t>
  </si>
  <si>
    <t>Sioux Falls-Mitchell</t>
  </si>
  <si>
    <t>Johnstown-Altoona-State College</t>
  </si>
  <si>
    <t>Fargo-Valley City</t>
  </si>
  <si>
    <t>Yakima-Pasco-Richland-Kennewick</t>
  </si>
  <si>
    <t>Springfield-Holyoke</t>
  </si>
  <si>
    <t>Traverse City-Cadillac</t>
  </si>
  <si>
    <t>Lansing</t>
  </si>
  <si>
    <t>Youngstown</t>
  </si>
  <si>
    <t>Macon</t>
  </si>
  <si>
    <t>Eugene</t>
  </si>
  <si>
    <t>Montgomery-Selma</t>
  </si>
  <si>
    <t>Peoria-Bloomington</t>
  </si>
  <si>
    <t>Santa Barbara-Santa Maria-San Luis Obispo</t>
  </si>
  <si>
    <t>Bakersfield</t>
  </si>
  <si>
    <t>Wilmington</t>
  </si>
  <si>
    <t>Columbus-Opelika</t>
  </si>
  <si>
    <t>Monterey-Salinas</t>
  </si>
  <si>
    <t>La Crosse-Eau Claire</t>
  </si>
  <si>
    <t>Corpus Christi</t>
  </si>
  <si>
    <t>Salisbury</t>
  </si>
  <si>
    <t>Amarillo</t>
  </si>
  <si>
    <t>Wausau-Rhinelander</t>
  </si>
  <si>
    <t>Columbus-Tupelo-West Point-Houston</t>
  </si>
  <si>
    <t>Columbia-Jefferson City</t>
  </si>
  <si>
    <t>Chico-Redding</t>
  </si>
  <si>
    <t>Rockford</t>
  </si>
  <si>
    <t>Duluth-Superior</t>
  </si>
  <si>
    <t>Medford-Klamath Falls</t>
  </si>
  <si>
    <t>Lubbock</t>
  </si>
  <si>
    <t>Topeka</t>
  </si>
  <si>
    <t>Monroe-El Dorado</t>
  </si>
  <si>
    <t>Beaumont-Port Arthur</t>
  </si>
  <si>
    <t>Odessa-Midland</t>
  </si>
  <si>
    <t>Palm Springs</t>
  </si>
  <si>
    <t>Anchorage</t>
  </si>
  <si>
    <t>Bismarck-Minot-Dickinson-Williston</t>
  </si>
  <si>
    <t>Panama City</t>
  </si>
  <si>
    <t>Sioux City</t>
  </si>
  <si>
    <t>Wichita Falls-Lawton</t>
  </si>
  <si>
    <t>Joplin-Pittsburg</t>
  </si>
  <si>
    <t>Rochester-Mason City-Austin</t>
  </si>
  <si>
    <t>Erie</t>
  </si>
  <si>
    <t>Idaho Falls-Pocatello-Jackson</t>
  </si>
  <si>
    <t>Bangor</t>
  </si>
  <si>
    <t>Gainesville</t>
  </si>
  <si>
    <t>Biloxi-Gulfport</t>
  </si>
  <si>
    <t>Terre Haute</t>
  </si>
  <si>
    <t>Sherman-Ada</t>
  </si>
  <si>
    <t>Missoula</t>
  </si>
  <si>
    <t>Binghamton</t>
  </si>
  <si>
    <t>Wheeling-Steubenville</t>
  </si>
  <si>
    <t>Yuma-El Centro</t>
  </si>
  <si>
    <t>Billings</t>
  </si>
  <si>
    <t>Abilene-Sweetwater</t>
  </si>
  <si>
    <t>Bluefield-Beckley-Oak Hill</t>
  </si>
  <si>
    <t>Hattiesburg-Laurel</t>
  </si>
  <si>
    <t>Rapid City</t>
  </si>
  <si>
    <t>Dothan</t>
  </si>
  <si>
    <t>Utica</t>
  </si>
  <si>
    <t>Clarksburg-Weston</t>
  </si>
  <si>
    <t>Harrisonburg</t>
  </si>
  <si>
    <t>Quincy-Hannibal-Keokuk</t>
  </si>
  <si>
    <t>Charlottesville</t>
  </si>
  <si>
    <t>Lake Charles</t>
  </si>
  <si>
    <t>Elmira-Corning</t>
  </si>
  <si>
    <t>Watertown</t>
  </si>
  <si>
    <t>Bowling Green</t>
  </si>
  <si>
    <t>Marquette</t>
  </si>
  <si>
    <t>Jonesboro</t>
  </si>
  <si>
    <t>Alexandria</t>
  </si>
  <si>
    <t>Laredo</t>
  </si>
  <si>
    <t>Butte-Bozeman</t>
  </si>
  <si>
    <t>Bend</t>
  </si>
  <si>
    <t>Grand Junction-Montrose</t>
  </si>
  <si>
    <t>Twin Falls</t>
  </si>
  <si>
    <t>Lafayette, IN</t>
  </si>
  <si>
    <t>Lima</t>
  </si>
  <si>
    <t>Great Falls</t>
  </si>
  <si>
    <t>Meridian</t>
  </si>
  <si>
    <t>Cheyenne-Scottsbluff</t>
  </si>
  <si>
    <t>Parkersburg</t>
  </si>
  <si>
    <t>Greenwood-Greenville</t>
  </si>
  <si>
    <t>Eureka</t>
  </si>
  <si>
    <t>San Angelo</t>
  </si>
  <si>
    <t>Casper-Riverton</t>
  </si>
  <si>
    <t>Mankato</t>
  </si>
  <si>
    <t>Ottumwa-Kirksville</t>
  </si>
  <si>
    <t>Metro Area</t>
  </si>
  <si>
    <t>NBA Google Analytic Trend Score</t>
  </si>
  <si>
    <t>Greenwood-Greenville MS</t>
  </si>
  <si>
    <t>Lafayette IN</t>
  </si>
  <si>
    <t>Monterey-Salinas CA</t>
  </si>
  <si>
    <t>Mankato MN</t>
  </si>
  <si>
    <t>Honolulu HI</t>
  </si>
  <si>
    <t>Providence RI-New Bedford MA</t>
  </si>
  <si>
    <t>Jackson MS</t>
  </si>
  <si>
    <t>Springfield-Holyoke MA</t>
  </si>
  <si>
    <t>Macon GA</t>
  </si>
  <si>
    <t>Albany GA</t>
  </si>
  <si>
    <t>Fresno-Visalia CA</t>
  </si>
  <si>
    <t>Meridian MS</t>
  </si>
  <si>
    <t>Santa Barbara-Santa Maria-San Luis Obispo CA</t>
  </si>
  <si>
    <t>Shreveport LA</t>
  </si>
  <si>
    <t>Fargo-Valley City ND</t>
  </si>
  <si>
    <t>Augusta GA</t>
  </si>
  <si>
    <t>Hartford &amp; New Haven CT</t>
  </si>
  <si>
    <t>Columbia SC</t>
  </si>
  <si>
    <t>Champaign &amp; Springfield-Decatur IL</t>
  </si>
  <si>
    <t>El Paso TX</t>
  </si>
  <si>
    <t>Eureka CA</t>
  </si>
  <si>
    <t>Baltimore MD</t>
  </si>
  <si>
    <t>Montgomery (Selma) AL</t>
  </si>
  <si>
    <t>Rochester MN-Mason City IA-Austin MN</t>
  </si>
  <si>
    <t>Bakersfield CA</t>
  </si>
  <si>
    <t>Laredo TX</t>
  </si>
  <si>
    <t>Monroe LA-El Dorado AR</t>
  </si>
  <si>
    <t>Florence-Myrtle Beach SC</t>
  </si>
  <si>
    <t>Baton Rouge LA</t>
  </si>
  <si>
    <t>Albany-Schenectady-Troy NY</t>
  </si>
  <si>
    <t>Columbus-Tupelo-West Point MS</t>
  </si>
  <si>
    <t>Richmond-Petersburg VA</t>
  </si>
  <si>
    <t>Palm Springs CA</t>
  </si>
  <si>
    <t>Presque Isle ME</t>
  </si>
  <si>
    <t>Tucson (Sierra Vista) AZ</t>
  </si>
  <si>
    <t>Madison WI</t>
  </si>
  <si>
    <t>Ft. Wayne IN</t>
  </si>
  <si>
    <t>Columbus GA</t>
  </si>
  <si>
    <t>Tulsa OK</t>
  </si>
  <si>
    <t>Jonesboro AR</t>
  </si>
  <si>
    <t>Jackson TN</t>
  </si>
  <si>
    <t>Portland-Auburn ME</t>
  </si>
  <si>
    <t>Rockford IL</t>
  </si>
  <si>
    <t>Chico-Redding CA</t>
  </si>
  <si>
    <t>Youngstown OH</t>
  </si>
  <si>
    <t>Yuma AZ-El Centro CA</t>
  </si>
  <si>
    <t>Bangor ME</t>
  </si>
  <si>
    <t>Reno NV</t>
  </si>
  <si>
    <t>Savannah GA</t>
  </si>
  <si>
    <t>Rochester NY</t>
  </si>
  <si>
    <t>Colorado Springs-Pueblo CO</t>
  </si>
  <si>
    <t>Peoria-Bloomington IL</t>
  </si>
  <si>
    <t>West Palm Beach-Ft. Pierce FL</t>
  </si>
  <si>
    <t>Minot-Bismarck-Dickinson(Williston) ND</t>
  </si>
  <si>
    <t>Ft. Myers-Naples FL</t>
  </si>
  <si>
    <t>Sioux Falls(Mitchell) SD</t>
  </si>
  <si>
    <t>Utica NY</t>
  </si>
  <si>
    <t>Raleigh-Durham (Fayetteville) NC</t>
  </si>
  <si>
    <t>Biloxi-Gulfport MS</t>
  </si>
  <si>
    <t>Glendive MT</t>
  </si>
  <si>
    <t>Charlottesville VA</t>
  </si>
  <si>
    <t>Greensboro-High Point-Winston Salem NC</t>
  </si>
  <si>
    <t>Wichita Falls TX &amp; Lawton OK</t>
  </si>
  <si>
    <t>Lafayette LA</t>
  </si>
  <si>
    <t>Hattiesburg-Laurel MS</t>
  </si>
  <si>
    <t>Juneau AK</t>
  </si>
  <si>
    <t>Terre Haute IN</t>
  </si>
  <si>
    <t>Binghamton NY</t>
  </si>
  <si>
    <t>Anchorage AK</t>
  </si>
  <si>
    <t>Duluth MN-Superior WI</t>
  </si>
  <si>
    <t>Fairbanks AK</t>
  </si>
  <si>
    <t>Beaumont-Port Arthur TX</t>
  </si>
  <si>
    <t>Waco-Temple-Bryan TX</t>
  </si>
  <si>
    <t>Evansville IN</t>
  </si>
  <si>
    <t>Greenville-New Bern-Washington NC</t>
  </si>
  <si>
    <t>Roanoke-Lynchburg VA</t>
  </si>
  <si>
    <t>Alexandria LA</t>
  </si>
  <si>
    <t>Dayton OH</t>
  </si>
  <si>
    <t>Syracuse NY</t>
  </si>
  <si>
    <t>La Crosse-Eau Claire WI</t>
  </si>
  <si>
    <t>Buffalo NY</t>
  </si>
  <si>
    <t>Eugene OR</t>
  </si>
  <si>
    <t>South Bend-Elkhart IN</t>
  </si>
  <si>
    <t>Corpus Christi TX</t>
  </si>
  <si>
    <t>Harrisonburg VA</t>
  </si>
  <si>
    <t>Great Falls MT</t>
  </si>
  <si>
    <t>Toledo OH</t>
  </si>
  <si>
    <t>Burlington VT-Plattsburgh NY</t>
  </si>
  <si>
    <t>Erie PA</t>
  </si>
  <si>
    <t>Tallahassee FL-Thomasville GA</t>
  </si>
  <si>
    <t>Davenport IA-Rock Island-Moline IL</t>
  </si>
  <si>
    <t>Sherman TX-Ada OK</t>
  </si>
  <si>
    <t>Gainesville FL</t>
  </si>
  <si>
    <t>Tyler-Longview(Lufkin &amp; Nacogdoches) TX</t>
  </si>
  <si>
    <t>Green Bay-Appleton WI</t>
  </si>
  <si>
    <t>Lansing MI</t>
  </si>
  <si>
    <t>Bowling Green KY</t>
  </si>
  <si>
    <t>Charleston SC</t>
  </si>
  <si>
    <t>Grand Rapids-Kalamazoo-Battle Creek MI</t>
  </si>
  <si>
    <t>Little Rock-Pine Bluff AR</t>
  </si>
  <si>
    <t>Birmingham AL</t>
  </si>
  <si>
    <t>Salisbury MD</t>
  </si>
  <si>
    <t>Lubbock TX</t>
  </si>
  <si>
    <t>Flint-Saginaw-Bay City MI</t>
  </si>
  <si>
    <t>Mobile AL-Pensacola (Ft. Walton Beach) FL</t>
  </si>
  <si>
    <t>Paducah KY-Cape Girardeau MO-Harrisburg-Mount Vernon IL</t>
  </si>
  <si>
    <t>Harrisburg-Lancaster-Lebanon-York PA</t>
  </si>
  <si>
    <t>Cedar Rapids-Waterloo-Iowa City &amp; Dubuque IA</t>
  </si>
  <si>
    <t>Lake Charles LA</t>
  </si>
  <si>
    <t>Lexington KY</t>
  </si>
  <si>
    <t>Odessa-Midland TX</t>
  </si>
  <si>
    <t>Bend OR</t>
  </si>
  <si>
    <t>Dothan AL</t>
  </si>
  <si>
    <t>Wilkes Barre-Scranton PA</t>
  </si>
  <si>
    <t>Grand Junction-Montrose CO</t>
  </si>
  <si>
    <t>Ft. Smith-Fayetteville-Springdale-Rogers AR</t>
  </si>
  <si>
    <t>Wichita-Hutchinson KS</t>
  </si>
  <si>
    <t>Medford-Klamath Falls OR</t>
  </si>
  <si>
    <t>Harlingen-Weslaco-Brownsville-McAllen TX</t>
  </si>
  <si>
    <t>Des Moines-Ames IA</t>
  </si>
  <si>
    <t>Lima OH</t>
  </si>
  <si>
    <t>Yakima-Pasco-Richland-Kennewick WA</t>
  </si>
  <si>
    <t>Wilmington NC</t>
  </si>
  <si>
    <t>Rapid City SD</t>
  </si>
  <si>
    <t>Sioux City IA</t>
  </si>
  <si>
    <t>Victoria TX</t>
  </si>
  <si>
    <t>Huntsville-Decatur (Florence) AL</t>
  </si>
  <si>
    <t>Columbia-Jefferson City MO</t>
  </si>
  <si>
    <t>Charleston-Huntington WV</t>
  </si>
  <si>
    <t>Greenville-Spartanburg SC-Asheville NC-Anderson SC</t>
  </si>
  <si>
    <t>Lincoln &amp; Hastings-Kearney NE</t>
  </si>
  <si>
    <t>Idaho Falls-Pocatello ID</t>
  </si>
  <si>
    <t>Amarillo TX</t>
  </si>
  <si>
    <t>Quincy IL-Hannibal MO-Keokuk IA</t>
  </si>
  <si>
    <t>Marquette MI</t>
  </si>
  <si>
    <t>Spokane WA</t>
  </si>
  <si>
    <t>Elmira NY</t>
  </si>
  <si>
    <t>Missoula MT</t>
  </si>
  <si>
    <t>Wausau-Rhinelander WI</t>
  </si>
  <si>
    <t>Butte-Bozeman MT</t>
  </si>
  <si>
    <t>Panama City FL</t>
  </si>
  <si>
    <t>Bluefield-Beckley-Oak Hill WV</t>
  </si>
  <si>
    <t>Watertown NY</t>
  </si>
  <si>
    <t>Abilene-Sweetwater TX</t>
  </si>
  <si>
    <t>Cheyenne WY-Scottsbluff NE</t>
  </si>
  <si>
    <t>Boise ID</t>
  </si>
  <si>
    <t>San Angelo TX</t>
  </si>
  <si>
    <t>Twin Falls ID</t>
  </si>
  <si>
    <t>Johnstown-Altoona PA</t>
  </si>
  <si>
    <t>Helena MT</t>
  </si>
  <si>
    <t>Chattanooga TN</t>
  </si>
  <si>
    <t>Knoxville TN</t>
  </si>
  <si>
    <t>Topeka KS</t>
  </si>
  <si>
    <t>Zanesville OH</t>
  </si>
  <si>
    <t>Wheeling WV-Steubenville OH</t>
  </si>
  <si>
    <t>North Platte NE</t>
  </si>
  <si>
    <t>Ottumwa IA-Kirksville MO</t>
  </si>
  <si>
    <t>Clarksburg-Weston WV</t>
  </si>
  <si>
    <t>Tri-Cities TN-VA</t>
  </si>
  <si>
    <t>Joplin MO-Pittsburg KS</t>
  </si>
  <si>
    <t>St. Joseph MO</t>
  </si>
  <si>
    <t>Springfield MO</t>
  </si>
  <si>
    <t>Casper-Riverton WY</t>
  </si>
  <si>
    <t>Parkersburg WV</t>
  </si>
  <si>
    <t>Traverse City-Cadillac MI</t>
  </si>
  <si>
    <t>Alpena MI</t>
  </si>
  <si>
    <t>Team</t>
  </si>
  <si>
    <t>City</t>
  </si>
  <si>
    <t>Venue</t>
  </si>
  <si>
    <t>Atlanta Braves</t>
  </si>
  <si>
    <t>Truist Park</t>
  </si>
  <si>
    <t>Atlanta Falcons</t>
  </si>
  <si>
    <t>Mercedes-Benz Stadium</t>
  </si>
  <si>
    <t>Baltimore Orioles</t>
  </si>
  <si>
    <t>Oriole Park at Camden Yards</t>
  </si>
  <si>
    <t>Baltimore Ravens</t>
  </si>
  <si>
    <t>M&amp;T Bank Stadium</t>
  </si>
  <si>
    <t>Boston Bruins</t>
  </si>
  <si>
    <t>Boston Red Sox</t>
  </si>
  <si>
    <t>Fenway Park</t>
  </si>
  <si>
    <t>New England Patriots</t>
  </si>
  <si>
    <t>Gillette Stadium</t>
  </si>
  <si>
    <t>Buffalo Bills</t>
  </si>
  <si>
    <t>Highmark Stadium</t>
  </si>
  <si>
    <t>Buffalo Sabres</t>
  </si>
  <si>
    <t>KeyBank Center</t>
  </si>
  <si>
    <t>Calgary Flames</t>
  </si>
  <si>
    <t>Calgary</t>
  </si>
  <si>
    <t>Scotiabank Saddledome</t>
  </si>
  <si>
    <t>Carolina Panthers</t>
  </si>
  <si>
    <t>Bank of America Stadium</t>
  </si>
  <si>
    <t>Chicago Bears</t>
  </si>
  <si>
    <t>Soldier Field</t>
  </si>
  <si>
    <t>Chicago Blackhawks</t>
  </si>
  <si>
    <t>Chicago Cubs</t>
  </si>
  <si>
    <t>Wrigley Field</t>
  </si>
  <si>
    <t>Chicago White Sox</t>
  </si>
  <si>
    <t>Rate Field</t>
  </si>
  <si>
    <t>Cincinnati Bengals</t>
  </si>
  <si>
    <t>Paycor Stadium</t>
  </si>
  <si>
    <t>Cincinnati Reds</t>
  </si>
  <si>
    <t>Great American Ball Park</t>
  </si>
  <si>
    <t>Cleveland Browns</t>
  </si>
  <si>
    <t>Huntington Bank Field</t>
  </si>
  <si>
    <t>Cleveland Guardians</t>
  </si>
  <si>
    <t>Progressive Field</t>
  </si>
  <si>
    <t>Columbus Blue Jackets</t>
  </si>
  <si>
    <t>Dallas Cowboys</t>
  </si>
  <si>
    <t>AT&amp;T Stadium</t>
  </si>
  <si>
    <t>Dallas Stars</t>
  </si>
  <si>
    <t>Texas Rangers</t>
  </si>
  <si>
    <t>Globe Life Field</t>
  </si>
  <si>
    <t>Colorado Avalanche</t>
  </si>
  <si>
    <t>Colorado Rockies</t>
  </si>
  <si>
    <t>Coors Field</t>
  </si>
  <si>
    <t>Denver Broncos</t>
  </si>
  <si>
    <t>Empower Field at Mile High</t>
  </si>
  <si>
    <t>Detroit Lions</t>
  </si>
  <si>
    <t>Ford Field</t>
  </si>
  <si>
    <t>Detroit Red Wings</t>
  </si>
  <si>
    <t>Detroit Tigers</t>
  </si>
  <si>
    <t>Comerica Park</t>
  </si>
  <si>
    <t>Edmonton Oilers</t>
  </si>
  <si>
    <t>Edmonton</t>
  </si>
  <si>
    <t>Rogers Place</t>
  </si>
  <si>
    <t>Green Bay Packers</t>
  </si>
  <si>
    <t>Green Bay</t>
  </si>
  <si>
    <t>Lambeau Field</t>
  </si>
  <si>
    <t>Houston Astros</t>
  </si>
  <si>
    <t>Daikin Park</t>
  </si>
  <si>
    <t>Houston Texans</t>
  </si>
  <si>
    <t>NRG Stadium</t>
  </si>
  <si>
    <t>Indianapolis Colts</t>
  </si>
  <si>
    <t>Lucas Oil Stadium</t>
  </si>
  <si>
    <t>Jacksonville Jaguars</t>
  </si>
  <si>
    <t>EverBank Stadium</t>
  </si>
  <si>
    <t>Kansas City Chiefs</t>
  </si>
  <si>
    <t>Arrowhead Stadium</t>
  </si>
  <si>
    <t>Kansas City Royals</t>
  </si>
  <si>
    <t>Kauffman Stadium</t>
  </si>
  <si>
    <t>Athletics</t>
  </si>
  <si>
    <t>Sutter Health Park</t>
  </si>
  <si>
    <t>Las Vegas Raiders</t>
  </si>
  <si>
    <t>Allegiant Stadium</t>
  </si>
  <si>
    <t>Vegas Golden Knights</t>
  </si>
  <si>
    <t>Anaheim Ducks</t>
  </si>
  <si>
    <t>Honda Center</t>
  </si>
  <si>
    <t>Los Angeles Angels</t>
  </si>
  <si>
    <t>Angel Stadium</t>
  </si>
  <si>
    <t>Los Angeles Chargers</t>
  </si>
  <si>
    <t>SoFi Stadium</t>
  </si>
  <si>
    <t>Los Angeles Dodgers</t>
  </si>
  <si>
    <t>Dodger Stadium</t>
  </si>
  <si>
    <t>Los Angeles Kings</t>
  </si>
  <si>
    <t>Los Angeles Rams</t>
  </si>
  <si>
    <t>Florida Panthers</t>
  </si>
  <si>
    <t>Amerant Bank Arena</t>
  </si>
  <si>
    <t>Miami Dolphins</t>
  </si>
  <si>
    <t>Hard Rock Stadium</t>
  </si>
  <si>
    <t>Miami Marlins</t>
  </si>
  <si>
    <t>LoanDepot Park</t>
  </si>
  <si>
    <t>Milwaukee Brewers</t>
  </si>
  <si>
    <t>American Family Field</t>
  </si>
  <si>
    <t>Minnesota Twins</t>
  </si>
  <si>
    <t>Target Field</t>
  </si>
  <si>
    <t>Minnesota Vikings</t>
  </si>
  <si>
    <t>U.S. Bank Stadium</t>
  </si>
  <si>
    <t>Minnesota Wild</t>
  </si>
  <si>
    <t>Xcel Energy Center</t>
  </si>
  <si>
    <t>Montreal Canadiens</t>
  </si>
  <si>
    <t>Montreal</t>
  </si>
  <si>
    <t>Bell Centre</t>
  </si>
  <si>
    <t>Nashville Predators</t>
  </si>
  <si>
    <t>Tennessee Titans</t>
  </si>
  <si>
    <t>Nissan Stadium</t>
  </si>
  <si>
    <t>New Orleans Saints</t>
  </si>
  <si>
    <t>Caesars Superdome</t>
  </si>
  <si>
    <t>New Jersey Devils</t>
  </si>
  <si>
    <t>Prudential Center</t>
  </si>
  <si>
    <t>New York Giants</t>
  </si>
  <si>
    <t>MetLife Stadium</t>
  </si>
  <si>
    <t>New York Islanders</t>
  </si>
  <si>
    <t>UBS Arena</t>
  </si>
  <si>
    <t>New York Jets</t>
  </si>
  <si>
    <t>New York Mets</t>
  </si>
  <si>
    <t>Citi Field</t>
  </si>
  <si>
    <t>New York Rangers</t>
  </si>
  <si>
    <t>New York Yankees</t>
  </si>
  <si>
    <t>Yankee Stadium</t>
  </si>
  <si>
    <t>Ottawa Senators</t>
  </si>
  <si>
    <t>Ottawa</t>
  </si>
  <si>
    <t>Canadian Tire Centre</t>
  </si>
  <si>
    <t>Philadelphia Eagles</t>
  </si>
  <si>
    <t>Lincoln Financial Field</t>
  </si>
  <si>
    <t>Philadelphia Flyers</t>
  </si>
  <si>
    <t>Philadelphia Phillies</t>
  </si>
  <si>
    <t>Citizens Bank Park</t>
  </si>
  <si>
    <t>Arizona Cardinals</t>
  </si>
  <si>
    <t>State Farm Stadium</t>
  </si>
  <si>
    <t>Arizona Diamondbacks</t>
  </si>
  <si>
    <t>Chase Field</t>
  </si>
  <si>
    <t>Pittsburgh Penguins</t>
  </si>
  <si>
    <t>Pittsburgh Pirates</t>
  </si>
  <si>
    <t>PNC Park</t>
  </si>
  <si>
    <t>Pittsburgh Steelers</t>
  </si>
  <si>
    <t>Acrisure Stadium</t>
  </si>
  <si>
    <t>Carolina Hurricanes</t>
  </si>
  <si>
    <t>Raleigh</t>
  </si>
  <si>
    <t>Lenovo Center</t>
  </si>
  <si>
    <t>Utah Mammoth</t>
  </si>
  <si>
    <t>San Diego Padres</t>
  </si>
  <si>
    <t>Petco Park</t>
  </si>
  <si>
    <t>San Francisco 49ers</t>
  </si>
  <si>
    <t>Levi's Stadium</t>
  </si>
  <si>
    <t>San Francisco Giants</t>
  </si>
  <si>
    <t>Oracle Park</t>
  </si>
  <si>
    <t>San Jose Sharks</t>
  </si>
  <si>
    <t>SAP Center at San Jose</t>
  </si>
  <si>
    <t>Seattle Kraken</t>
  </si>
  <si>
    <t>Seattle Mariners</t>
  </si>
  <si>
    <t>T-Mobile Park</t>
  </si>
  <si>
    <t>Seattle Seahawks</t>
  </si>
  <si>
    <t>Lumen Field</t>
  </si>
  <si>
    <t>St. Louis Blues</t>
  </si>
  <si>
    <t>St. Louis Cardinals</t>
  </si>
  <si>
    <t>Busch Stadium</t>
  </si>
  <si>
    <t>Tampa Bay Buccaneers</t>
  </si>
  <si>
    <t>Raymond James Stadium</t>
  </si>
  <si>
    <t>Tampa Bay Lightning</t>
  </si>
  <si>
    <t>Tampa Bay Rays</t>
  </si>
  <si>
    <t>Tropicana Field</t>
  </si>
  <si>
    <t>Toronto Blue Jays</t>
  </si>
  <si>
    <t>Rogers Centre</t>
  </si>
  <si>
    <t>Toronto Maple Leafs</t>
  </si>
  <si>
    <t>Vancouver Canucks</t>
  </si>
  <si>
    <t>Vancouver</t>
  </si>
  <si>
    <t>Rogers Arena</t>
  </si>
  <si>
    <t>Washington Capitals</t>
  </si>
  <si>
    <t>Washington Commanders</t>
  </si>
  <si>
    <t>Northwest Stadium</t>
  </si>
  <si>
    <t>Washington Nationals</t>
  </si>
  <si>
    <t>Nationals Park</t>
  </si>
  <si>
    <t>Winnipeg Jets</t>
  </si>
  <si>
    <t>Winnipeg</t>
  </si>
  <si>
    <t>Canada Life Centre</t>
  </si>
  <si>
    <t>Company</t>
  </si>
  <si>
    <t>Walmart</t>
  </si>
  <si>
    <t>Bentonville</t>
  </si>
  <si>
    <t>Amazon</t>
  </si>
  <si>
    <t>UnitedHealth</t>
  </si>
  <si>
    <t>Apple</t>
  </si>
  <si>
    <t>CVS Health</t>
  </si>
  <si>
    <t>Woonsocket</t>
  </si>
  <si>
    <t>Berkshire Hathaway</t>
  </si>
  <si>
    <t>Alphabet</t>
  </si>
  <si>
    <t>Exxon Mobil</t>
  </si>
  <si>
    <t>McKesson</t>
  </si>
  <si>
    <t>Cencora</t>
  </si>
  <si>
    <t>JPMorgan Chase</t>
  </si>
  <si>
    <t>Costco</t>
  </si>
  <si>
    <t>Cigna</t>
  </si>
  <si>
    <t>Bloomfield</t>
  </si>
  <si>
    <t>Microsoft</t>
  </si>
  <si>
    <t>Cardinal Health</t>
  </si>
  <si>
    <t>Chevron</t>
  </si>
  <si>
    <t>Bank of America</t>
  </si>
  <si>
    <t>General Motors</t>
  </si>
  <si>
    <t>Ford Motor</t>
  </si>
  <si>
    <t>Elevance Health</t>
  </si>
  <si>
    <t>Citi</t>
  </si>
  <si>
    <t>Meta</t>
  </si>
  <si>
    <t>Centene</t>
  </si>
  <si>
    <t>Home Depot</t>
  </si>
  <si>
    <t>Fannie Mae</t>
  </si>
  <si>
    <t>Walgreens</t>
  </si>
  <si>
    <t>Kroger</t>
  </si>
  <si>
    <t>Phillips 66</t>
  </si>
  <si>
    <t>Marathon Petroleum</t>
  </si>
  <si>
    <t>Findlay</t>
  </si>
  <si>
    <t>Verizon</t>
  </si>
  <si>
    <t>Nvidia</t>
  </si>
  <si>
    <t>Goldman Sachs</t>
  </si>
  <si>
    <t>Wells Fargo</t>
  </si>
  <si>
    <t>Valero Energy</t>
  </si>
  <si>
    <t>Comcast</t>
  </si>
  <si>
    <t>State Farm</t>
  </si>
  <si>
    <t>Bloomington</t>
  </si>
  <si>
    <t>AT&amp;T</t>
  </si>
  <si>
    <t>Freddie Mac</t>
  </si>
  <si>
    <t>Humana</t>
  </si>
  <si>
    <t>Morgan Stanley</t>
  </si>
  <si>
    <t>Target</t>
  </si>
  <si>
    <t>StoneX</t>
  </si>
  <si>
    <t>Tesla</t>
  </si>
  <si>
    <t>Dell Technologies</t>
  </si>
  <si>
    <t>PepsiCo</t>
  </si>
  <si>
    <t>Walt Disney</t>
  </si>
  <si>
    <t>UPS</t>
  </si>
  <si>
    <t>Johnson &amp; Johnson</t>
  </si>
  <si>
    <t>FedEx</t>
  </si>
  <si>
    <t>Archer Daniels Midland</t>
  </si>
  <si>
    <t>Procter &amp; Gamble</t>
  </si>
  <si>
    <t>Lowe's</t>
  </si>
  <si>
    <t>Energy Transfer</t>
  </si>
  <si>
    <t>RTX</t>
  </si>
  <si>
    <t>Albertsons</t>
  </si>
  <si>
    <t>Sysco</t>
  </si>
  <si>
    <t>Progressive</t>
  </si>
  <si>
    <t>American Express</t>
  </si>
  <si>
    <t>Lockheed Martin</t>
  </si>
  <si>
    <t>MetLife</t>
  </si>
  <si>
    <t>HCA Healthcare</t>
  </si>
  <si>
    <t>Prudential Financial</t>
  </si>
  <si>
    <t>Boeing</t>
  </si>
  <si>
    <t>Caterpillar</t>
  </si>
  <si>
    <t>Merck</t>
  </si>
  <si>
    <t>Allstate</t>
  </si>
  <si>
    <t>Pfizer</t>
  </si>
  <si>
    <t>IBM</t>
  </si>
  <si>
    <t>New York City Life Insurance</t>
  </si>
  <si>
    <t>Delta Airlines</t>
  </si>
  <si>
    <t>Publix Super Markets</t>
  </si>
  <si>
    <t>Nationwide</t>
  </si>
  <si>
    <t>TD Synnex</t>
  </si>
  <si>
    <t>United Airlines</t>
  </si>
  <si>
    <t>ConocoPhillips</t>
  </si>
  <si>
    <t>TJX</t>
  </si>
  <si>
    <t>AbbVie</t>
  </si>
  <si>
    <t>Enterprise Products Partners</t>
  </si>
  <si>
    <t>Charter Communications</t>
  </si>
  <si>
    <t>Performance Food</t>
  </si>
  <si>
    <t>Richmond</t>
  </si>
  <si>
    <t>American Airlines</t>
  </si>
  <si>
    <t>Capital One</t>
  </si>
  <si>
    <t>Cisco Systems</t>
  </si>
  <si>
    <t>HP</t>
  </si>
  <si>
    <t>Tyson Foods</t>
  </si>
  <si>
    <t>Springdale</t>
  </si>
  <si>
    <t>Intel</t>
  </si>
  <si>
    <t>Oracle</t>
  </si>
  <si>
    <t>Broadcom</t>
  </si>
  <si>
    <t>Deere</t>
  </si>
  <si>
    <t>Moline</t>
  </si>
  <si>
    <t>Nike</t>
  </si>
  <si>
    <t>Liberty Mutual Insurance</t>
  </si>
  <si>
    <t>Plains GP</t>
  </si>
  <si>
    <t>USAA</t>
  </si>
  <si>
    <t>Bristol-Myers Squibb</t>
  </si>
  <si>
    <t>Princeton</t>
  </si>
  <si>
    <t>Ingram Micro</t>
  </si>
  <si>
    <t>General Dynamics</t>
  </si>
  <si>
    <t>Coca-Cola</t>
  </si>
  <si>
    <t>TIAA</t>
  </si>
  <si>
    <t>Travelers</t>
  </si>
  <si>
    <t>Eli Lilly</t>
  </si>
  <si>
    <t>Uber</t>
  </si>
  <si>
    <t>Mass Mutual</t>
  </si>
  <si>
    <t>Springfield</t>
  </si>
  <si>
    <t>Dow</t>
  </si>
  <si>
    <t>Midland</t>
  </si>
  <si>
    <t>Thermo Fisher Scientific</t>
  </si>
  <si>
    <t>U.S. Bancorp</t>
  </si>
  <si>
    <t>World Kinect</t>
  </si>
  <si>
    <t>Abbott Laboratories</t>
  </si>
  <si>
    <t>Best Buy</t>
  </si>
  <si>
    <t>Northwestern Mutual</t>
  </si>
  <si>
    <t>Northrop Grumman</t>
  </si>
  <si>
    <t>Molina Healthcare</t>
  </si>
  <si>
    <t>Dollar General</t>
  </si>
  <si>
    <t>Bank of New York City</t>
  </si>
  <si>
    <t>Warner Bros. Discovery</t>
  </si>
  <si>
    <t>CHS</t>
  </si>
  <si>
    <t>Netflix</t>
  </si>
  <si>
    <t>Qualcomm</t>
  </si>
  <si>
    <t>General Electric</t>
  </si>
  <si>
    <t>Honeywell</t>
  </si>
  <si>
    <t>Salesforce</t>
  </si>
  <si>
    <t>Philip Morris</t>
  </si>
  <si>
    <t>US Foods</t>
  </si>
  <si>
    <t>D.R. Horton</t>
  </si>
  <si>
    <t>Lithia Motors</t>
  </si>
  <si>
    <t>Medford</t>
  </si>
  <si>
    <t>Mondelez</t>
  </si>
  <si>
    <t>Starbucks</t>
  </si>
  <si>
    <t>Visa</t>
  </si>
  <si>
    <t>CBRE</t>
  </si>
  <si>
    <t>Lennar</t>
  </si>
  <si>
    <t>GE Vernova</t>
  </si>
  <si>
    <t>PNC</t>
  </si>
  <si>
    <t>Cummins</t>
  </si>
  <si>
    <t>Paccar</t>
  </si>
  <si>
    <t>Amgen</t>
  </si>
  <si>
    <t>PBF Energy</t>
  </si>
  <si>
    <t>GuideWell Mutual</t>
  </si>
  <si>
    <t>PayPal</t>
  </si>
  <si>
    <t>United Natural Foods</t>
  </si>
  <si>
    <t>Providence</t>
  </si>
  <si>
    <t>Dollar Tree</t>
  </si>
  <si>
    <t>Nucor</t>
  </si>
  <si>
    <t>Penske Automotive</t>
  </si>
  <si>
    <t>Coupang</t>
  </si>
  <si>
    <t>Hewlett Packard</t>
  </si>
  <si>
    <t>Duke Energy</t>
  </si>
  <si>
    <t>KKR</t>
  </si>
  <si>
    <t>Ferguson</t>
  </si>
  <si>
    <t>Paramount Global</t>
  </si>
  <si>
    <t>Jabil</t>
  </si>
  <si>
    <t>Gilead Sciences</t>
  </si>
  <si>
    <t>HF Sinclair</t>
  </si>
  <si>
    <t>CarMax</t>
  </si>
  <si>
    <t>Mastercard</t>
  </si>
  <si>
    <t>NRG Energy</t>
  </si>
  <si>
    <t>Arrow Electronics</t>
  </si>
  <si>
    <t>Baker Hughes</t>
  </si>
  <si>
    <t>Southwest Airlines</t>
  </si>
  <si>
    <t>American International</t>
  </si>
  <si>
    <t>Applied Materials</t>
  </si>
  <si>
    <t>Occidental Petroleum</t>
  </si>
  <si>
    <t>AutoNation</t>
  </si>
  <si>
    <t>Hartford Insurance</t>
  </si>
  <si>
    <t>Hartford</t>
  </si>
  <si>
    <t>Apollo Global Management</t>
  </si>
  <si>
    <t>Charles Schwab</t>
  </si>
  <si>
    <t>McDonald's</t>
  </si>
  <si>
    <t>Kraft Heinz</t>
  </si>
  <si>
    <t>Advanced Micro Devices</t>
  </si>
  <si>
    <t>Truist Financial</t>
  </si>
  <si>
    <t>Freeport-McMoRan</t>
  </si>
  <si>
    <t>Micron Technology</t>
  </si>
  <si>
    <t>Marriott International</t>
  </si>
  <si>
    <t>Carrier Global</t>
  </si>
  <si>
    <t>NextEra Energy</t>
  </si>
  <si>
    <t>3M</t>
  </si>
  <si>
    <t>Marsh &amp; McLennan</t>
  </si>
  <si>
    <t>PG&amp;E</t>
  </si>
  <si>
    <t>Union Pacific</t>
  </si>
  <si>
    <t>Synchrony Financial</t>
  </si>
  <si>
    <t>Block</t>
  </si>
  <si>
    <t>Danaher</t>
  </si>
  <si>
    <t>Avnet</t>
  </si>
  <si>
    <t>Booking s</t>
  </si>
  <si>
    <t>EOG Resources</t>
  </si>
  <si>
    <t>Quanta Services</t>
  </si>
  <si>
    <t>Discover Financial</t>
  </si>
  <si>
    <t>Constellation Energy</t>
  </si>
  <si>
    <t>Genuine Parts</t>
  </si>
  <si>
    <t>Jones Lang LaSalle</t>
  </si>
  <si>
    <t>Lear</t>
  </si>
  <si>
    <t>Live Nation Entertainment</t>
  </si>
  <si>
    <t>Sherwin-Williams</t>
  </si>
  <si>
    <t>Exelon</t>
  </si>
  <si>
    <t>Macy's</t>
  </si>
  <si>
    <t>Halliburton</t>
  </si>
  <si>
    <t>Stryker</t>
  </si>
  <si>
    <t>Portage</t>
  </si>
  <si>
    <t>Reinsurance of America</t>
  </si>
  <si>
    <t>Waste Management</t>
  </si>
  <si>
    <t>State Street</t>
  </si>
  <si>
    <t>WESCO International</t>
  </si>
  <si>
    <t>Oneok</t>
  </si>
  <si>
    <t>Adobe</t>
  </si>
  <si>
    <t>American Family Insurance</t>
  </si>
  <si>
    <t>L3Harris Technologies</t>
  </si>
  <si>
    <t>Melbourne</t>
  </si>
  <si>
    <t>Ross Stores</t>
  </si>
  <si>
    <t>CDW</t>
  </si>
  <si>
    <t>Tenet Healthcare</t>
  </si>
  <si>
    <t>BJ's Wholesale Club</t>
  </si>
  <si>
    <t>Fiserv</t>
  </si>
  <si>
    <t>Altria</t>
  </si>
  <si>
    <t>BlackRock</t>
  </si>
  <si>
    <t>Becton Dickinson</t>
  </si>
  <si>
    <t>Colgate-Palmolive</t>
  </si>
  <si>
    <t>Kimberly-Clark</t>
  </si>
  <si>
    <t>1 Automotive</t>
  </si>
  <si>
    <t>Parker-Hannifin</t>
  </si>
  <si>
    <t>General Mills</t>
  </si>
  <si>
    <t>Cognizant Technology</t>
  </si>
  <si>
    <t>American Electric Power</t>
  </si>
  <si>
    <t>GE HealthCare Technologies</t>
  </si>
  <si>
    <t>Automatic Data Processing</t>
  </si>
  <si>
    <t>Cleveland-Cliffs</t>
  </si>
  <si>
    <t>Aflac</t>
  </si>
  <si>
    <t>Columbus, GA</t>
  </si>
  <si>
    <t>Goodyear Tire &amp; Rubber</t>
  </si>
  <si>
    <t>Corebridge Financial</t>
  </si>
  <si>
    <t>Newmont</t>
  </si>
  <si>
    <t>International Paper</t>
  </si>
  <si>
    <t>AutoZone</t>
  </si>
  <si>
    <t>Lincoln National</t>
  </si>
  <si>
    <t>Pulte</t>
  </si>
  <si>
    <t>Ameriprise Financial</t>
  </si>
  <si>
    <t>Murphy USA</t>
  </si>
  <si>
    <t>El Dorado</t>
  </si>
  <si>
    <t>Manpower</t>
  </si>
  <si>
    <t>C.H. Robinson Worldwide</t>
  </si>
  <si>
    <t>PPG Industries</t>
  </si>
  <si>
    <t>Edison International</t>
  </si>
  <si>
    <t>Steel Dynamics</t>
  </si>
  <si>
    <t>Loews</t>
  </si>
  <si>
    <t>Emerson Electric</t>
  </si>
  <si>
    <t>Aramark</t>
  </si>
  <si>
    <t>MGM Resorts International</t>
  </si>
  <si>
    <t>Vistra</t>
  </si>
  <si>
    <t>Asbury Automotive</t>
  </si>
  <si>
    <t>W.W. Grainger</t>
  </si>
  <si>
    <t>Global Partners</t>
  </si>
  <si>
    <t>Jacobs Solutions</t>
  </si>
  <si>
    <t>Corteva</t>
  </si>
  <si>
    <t>Peter Kiewit Sons'</t>
  </si>
  <si>
    <t>Boston Scientific</t>
  </si>
  <si>
    <t>O'Reilly Automotive</t>
  </si>
  <si>
    <t>Leidos s</t>
  </si>
  <si>
    <t>Markel</t>
  </si>
  <si>
    <t>Glen Allen</t>
  </si>
  <si>
    <t>Whirlpool</t>
  </si>
  <si>
    <t>Benton Harbor</t>
  </si>
  <si>
    <t>Guardian Life</t>
  </si>
  <si>
    <t>Builders FirstSource</t>
  </si>
  <si>
    <t>Ally Financial</t>
  </si>
  <si>
    <t>Targa Resources</t>
  </si>
  <si>
    <t>Fluor</t>
  </si>
  <si>
    <t>Intuit</t>
  </si>
  <si>
    <t>AECOM</t>
  </si>
  <si>
    <t>Edward Jones</t>
  </si>
  <si>
    <t>Kohl's</t>
  </si>
  <si>
    <t>Land O'Lakes</t>
  </si>
  <si>
    <t>Principal Financial</t>
  </si>
  <si>
    <t>Des Moines</t>
  </si>
  <si>
    <t>Dominion Energy</t>
  </si>
  <si>
    <t>Kyndryl s</t>
  </si>
  <si>
    <t>Republic Services</t>
  </si>
  <si>
    <t>Devon Energy</t>
  </si>
  <si>
    <t>Illinois Tool Works</t>
  </si>
  <si>
    <t>Northern Trust</t>
  </si>
  <si>
    <t>Auto-Owners Insurance</t>
  </si>
  <si>
    <t>Universal Health Services</t>
  </si>
  <si>
    <t>Pacific Life</t>
  </si>
  <si>
    <t>EchoStar</t>
  </si>
  <si>
    <t>Ecolab</t>
  </si>
  <si>
    <t>Cheniere Energy</t>
  </si>
  <si>
    <t>Omnicom</t>
  </si>
  <si>
    <t>Texas Instruments</t>
  </si>
  <si>
    <t>United States Steel</t>
  </si>
  <si>
    <t>Estée Lauder</t>
  </si>
  <si>
    <t>Farmers Insurance Exchange</t>
  </si>
  <si>
    <t>Kenvue</t>
  </si>
  <si>
    <t>IQVIA s</t>
  </si>
  <si>
    <t>Durham</t>
  </si>
  <si>
    <t>Stanley Black &amp; Decker</t>
  </si>
  <si>
    <t>New Britain</t>
  </si>
  <si>
    <t>Keurig Dr Pepper</t>
  </si>
  <si>
    <t>United Rentals</t>
  </si>
  <si>
    <t>Consolidated Edison</t>
  </si>
  <si>
    <t>Amphenol</t>
  </si>
  <si>
    <t>Wallingford</t>
  </si>
  <si>
    <t>Baxter International</t>
  </si>
  <si>
    <t>Kinder Morgan</t>
  </si>
  <si>
    <t>Gap</t>
  </si>
  <si>
    <t>Nordstrom</t>
  </si>
  <si>
    <t>Super Micro Computer</t>
  </si>
  <si>
    <t>First Citizens BancShares</t>
  </si>
  <si>
    <t>Raymond James Financial</t>
  </si>
  <si>
    <t>Lam Research</t>
  </si>
  <si>
    <t>Tractor Supply</t>
  </si>
  <si>
    <t>Casey's General Stores</t>
  </si>
  <si>
    <t>Ankeny</t>
  </si>
  <si>
    <t>Viatris</t>
  </si>
  <si>
    <t>Mutual of Omaha Insurance</t>
  </si>
  <si>
    <t>EMCOR</t>
  </si>
  <si>
    <t>CSX</t>
  </si>
  <si>
    <t>LKQ</t>
  </si>
  <si>
    <t>Otis Worldwide</t>
  </si>
  <si>
    <t>Farmington</t>
  </si>
  <si>
    <t>Sonic Automotive</t>
  </si>
  <si>
    <t>S&amp;P Global</t>
  </si>
  <si>
    <t>Regeneron Pharmaceuticals</t>
  </si>
  <si>
    <t>BorgWarner</t>
  </si>
  <si>
    <t>Fox</t>
  </si>
  <si>
    <t>Reliance</t>
  </si>
  <si>
    <t>Western &amp; Southern Financial</t>
  </si>
  <si>
    <t>Textron</t>
  </si>
  <si>
    <t>Expedia</t>
  </si>
  <si>
    <t>Fidelity National Financial</t>
  </si>
  <si>
    <t>Carvana</t>
  </si>
  <si>
    <t>DXC Technology</t>
  </si>
  <si>
    <t>W.R. Berkley</t>
  </si>
  <si>
    <t>M&amp;T Bank</t>
  </si>
  <si>
    <t>Dick's Sporting Goods</t>
  </si>
  <si>
    <t>Xcel Energy</t>
  </si>
  <si>
    <t>Fifth Third Bancorp</t>
  </si>
  <si>
    <t>Blackstone</t>
  </si>
  <si>
    <t>Sempra</t>
  </si>
  <si>
    <t>Erie Insurance</t>
  </si>
  <si>
    <t>Corning</t>
  </si>
  <si>
    <t>Lumen Technologies</t>
  </si>
  <si>
    <t>Monroe</t>
  </si>
  <si>
    <t>FirstEnergy</t>
  </si>
  <si>
    <t>Hess</t>
  </si>
  <si>
    <t>Labcorp s</t>
  </si>
  <si>
    <t>Western Digital</t>
  </si>
  <si>
    <t>Unum</t>
  </si>
  <si>
    <t>DaVita</t>
  </si>
  <si>
    <t>Kellanova</t>
  </si>
  <si>
    <t>Henry Schein</t>
  </si>
  <si>
    <t>Ryder System</t>
  </si>
  <si>
    <t>Community Health Systems</t>
  </si>
  <si>
    <t>Delek US</t>
  </si>
  <si>
    <t>DTE Energy</t>
  </si>
  <si>
    <t>Equitable</t>
  </si>
  <si>
    <t>DuPont</t>
  </si>
  <si>
    <t>LPL Financial s</t>
  </si>
  <si>
    <t>Citizens Financial</t>
  </si>
  <si>
    <t>MasTec</t>
  </si>
  <si>
    <t>AES</t>
  </si>
  <si>
    <t>Berry Global</t>
  </si>
  <si>
    <t>Westlake</t>
  </si>
  <si>
    <t>Norfolk Southern</t>
  </si>
  <si>
    <t>Air Products &amp; Chemicals</t>
  </si>
  <si>
    <t>Allentown</t>
  </si>
  <si>
    <t>J.B. Hunt Transport Services</t>
  </si>
  <si>
    <t>Lowell</t>
  </si>
  <si>
    <t>Ball</t>
  </si>
  <si>
    <t>Conagra Brands</t>
  </si>
  <si>
    <t>Huntington Bancshares</t>
  </si>
  <si>
    <t>Hormel Foods</t>
  </si>
  <si>
    <t>Austin, MN</t>
  </si>
  <si>
    <t>Eversource Energy</t>
  </si>
  <si>
    <t>Alcoa</t>
  </si>
  <si>
    <t>Entergy</t>
  </si>
  <si>
    <t>Assurant</t>
  </si>
  <si>
    <t>Chewy</t>
  </si>
  <si>
    <t>Wayfair</t>
  </si>
  <si>
    <t>Crown s</t>
  </si>
  <si>
    <t>Avis Budget</t>
  </si>
  <si>
    <t>Intercontinental Exchange</t>
  </si>
  <si>
    <t>Alaska Air</t>
  </si>
  <si>
    <t>GXO Logistics</t>
  </si>
  <si>
    <t>AGCO</t>
  </si>
  <si>
    <t>Graybar Electric</t>
  </si>
  <si>
    <t>Molson Coors Beverage</t>
  </si>
  <si>
    <t>Arthur J. Gallagher</t>
  </si>
  <si>
    <t>Huntington Ingalls Industries</t>
  </si>
  <si>
    <t>International Flavors &amp; Fragrances</t>
  </si>
  <si>
    <t>Darden Restaurants</t>
  </si>
  <si>
    <t>Cincinnati Financial</t>
  </si>
  <si>
    <t>Chipotle Mexican Grill</t>
  </si>
  <si>
    <t>Yum China s</t>
  </si>
  <si>
    <t>Las Vegas Sands</t>
  </si>
  <si>
    <t>Ulta Beauty</t>
  </si>
  <si>
    <t>Caesars Entertainment</t>
  </si>
  <si>
    <t>BrightHouston Health Services</t>
  </si>
  <si>
    <t>Andersons</t>
  </si>
  <si>
    <t>Maumee</t>
  </si>
  <si>
    <t>Hershey</t>
  </si>
  <si>
    <t>Hilton</t>
  </si>
  <si>
    <t>Mosaic</t>
  </si>
  <si>
    <t>Airbnb</t>
  </si>
  <si>
    <t>Diamondback Energy</t>
  </si>
  <si>
    <t>American Tower</t>
  </si>
  <si>
    <t>Vertex Pharmaceuticals</t>
  </si>
  <si>
    <t>ServiceNow</t>
  </si>
  <si>
    <t>Owens Corning</t>
  </si>
  <si>
    <t>Thrivent Financial for Lutherans</t>
  </si>
  <si>
    <t>Advance Auto Parts</t>
  </si>
  <si>
    <t>Toll Brothers</t>
  </si>
  <si>
    <t>Mohawk Industries</t>
  </si>
  <si>
    <t>Calhoun</t>
  </si>
  <si>
    <t>Motorola Solutions</t>
  </si>
  <si>
    <t>Oshkosh</t>
  </si>
  <si>
    <t>DoorDash</t>
  </si>
  <si>
    <t>Owens &amp; Minor</t>
  </si>
  <si>
    <t>NVR</t>
  </si>
  <si>
    <t>Interpublic</t>
  </si>
  <si>
    <t>Booz Allen Hamilton</t>
  </si>
  <si>
    <t>Burlington Stores</t>
  </si>
  <si>
    <t>Expeditors International of Washington</t>
  </si>
  <si>
    <t>Lululemon athletica</t>
  </si>
  <si>
    <t>Fidelity National Information</t>
  </si>
  <si>
    <t>Jefferies Financial</t>
  </si>
  <si>
    <t>Williams</t>
  </si>
  <si>
    <t>VF</t>
  </si>
  <si>
    <t>FM</t>
  </si>
  <si>
    <t>Johnston</t>
  </si>
  <si>
    <t>Autoliv</t>
  </si>
  <si>
    <t>Westinghouse Air Brake Technologies</t>
  </si>
  <si>
    <t>Public Service Enterprise</t>
  </si>
  <si>
    <t>Dana</t>
  </si>
  <si>
    <t>Ebay</t>
  </si>
  <si>
    <t>Celanese</t>
  </si>
  <si>
    <t>Global Payments</t>
  </si>
  <si>
    <t>News Corp.</t>
  </si>
  <si>
    <t>THOR Industries</t>
  </si>
  <si>
    <t>Elkhart</t>
  </si>
  <si>
    <t>QVC</t>
  </si>
  <si>
    <t>Icahn Enterprises</t>
  </si>
  <si>
    <t>Constellation Brands</t>
  </si>
  <si>
    <t>Victor</t>
  </si>
  <si>
    <t>Quest Diagnostics</t>
  </si>
  <si>
    <t>KLA</t>
  </si>
  <si>
    <t>QXO Building Products</t>
  </si>
  <si>
    <t>APA</t>
  </si>
  <si>
    <t>A-Mark Precious Metals</t>
  </si>
  <si>
    <t>Biogen</t>
  </si>
  <si>
    <t>Campbell's</t>
  </si>
  <si>
    <t>Concentrix</t>
  </si>
  <si>
    <t>Cintas</t>
  </si>
  <si>
    <t>SpartanNash</t>
  </si>
  <si>
    <t>Byron Center</t>
  </si>
  <si>
    <t>Ace Hardware</t>
  </si>
  <si>
    <t>Analog Devices</t>
  </si>
  <si>
    <t>Eastman Chemical</t>
  </si>
  <si>
    <t>Kingsport</t>
  </si>
  <si>
    <t>Interactive Brokers</t>
  </si>
  <si>
    <t>Regions Financial</t>
  </si>
  <si>
    <t>Birmingham</t>
  </si>
  <si>
    <t>JetBlue Airways</t>
  </si>
  <si>
    <t>Zoetis</t>
  </si>
  <si>
    <t>KeyCorp</t>
  </si>
  <si>
    <t>Oscar Health</t>
  </si>
  <si>
    <t>Ovintiv</t>
  </si>
  <si>
    <t>Seaboard</t>
  </si>
  <si>
    <t>Hertz</t>
  </si>
  <si>
    <t>Estero</t>
  </si>
  <si>
    <t>Skechers U.S.A.</t>
  </si>
  <si>
    <t>Altice USA</t>
  </si>
  <si>
    <t>NOV</t>
  </si>
  <si>
    <t>Graphic Packaging</t>
  </si>
  <si>
    <t>Avery Dennison</t>
  </si>
  <si>
    <t>Equinix</t>
  </si>
  <si>
    <t>Insight Enterprises</t>
  </si>
  <si>
    <t>Sirius XM</t>
  </si>
  <si>
    <t>PVH</t>
  </si>
  <si>
    <t>CenterPoint Energy</t>
  </si>
  <si>
    <t>WEC Energy</t>
  </si>
  <si>
    <t>Xylem</t>
  </si>
  <si>
    <t>Nashville Resources</t>
  </si>
  <si>
    <t>PPL</t>
  </si>
  <si>
    <t>Workday</t>
  </si>
  <si>
    <t>Pleasanton</t>
  </si>
  <si>
    <t>Dover</t>
  </si>
  <si>
    <t>Packaging Corp. of America</t>
  </si>
  <si>
    <t>ABM Industries</t>
  </si>
  <si>
    <t>Intuitive Surgical</t>
  </si>
  <si>
    <t>American Financial</t>
  </si>
  <si>
    <t>Rockwell Automation</t>
  </si>
  <si>
    <t>Solventum</t>
  </si>
  <si>
    <t>Old Republic International</t>
  </si>
  <si>
    <t>Securian Financial</t>
  </si>
  <si>
    <t>Prologis</t>
  </si>
  <si>
    <t>J.M. Smucker</t>
  </si>
  <si>
    <t>Orrville</t>
  </si>
  <si>
    <t>Taylor Morrison Home</t>
  </si>
  <si>
    <t>XPO</t>
  </si>
  <si>
    <t>Voya Financial</t>
  </si>
  <si>
    <t>San Francisco Networks</t>
  </si>
  <si>
    <t>Vertiv s</t>
  </si>
  <si>
    <t>Welltower</t>
  </si>
  <si>
    <t>Foot Locker</t>
  </si>
  <si>
    <t>Par Pacific</t>
  </si>
  <si>
    <t>TransDigm</t>
  </si>
  <si>
    <t>Commercial Metals</t>
  </si>
  <si>
    <t>Post s</t>
  </si>
  <si>
    <t>Masco</t>
  </si>
  <si>
    <t>Rush Enterprises</t>
  </si>
  <si>
    <t>KBR</t>
  </si>
  <si>
    <t>Sprouts Farmers Market</t>
  </si>
  <si>
    <t>Williams-Sonoma</t>
  </si>
  <si>
    <t>Zimmer Biomet s</t>
  </si>
  <si>
    <t>Warsaw</t>
  </si>
  <si>
    <t>CACI International</t>
  </si>
  <si>
    <t>Microchip Technology</t>
  </si>
  <si>
    <t>Watsco</t>
  </si>
  <si>
    <t>Newell Brands</t>
  </si>
  <si>
    <t>ARKO</t>
  </si>
  <si>
    <t>Sanmina</t>
  </si>
  <si>
    <t>Electronic Arts</t>
  </si>
  <si>
    <t>Yum Brands</t>
  </si>
  <si>
    <t>Fastenal</t>
  </si>
  <si>
    <t>Winona</t>
  </si>
  <si>
    <t>CMS Energy</t>
  </si>
  <si>
    <t>Jackson</t>
  </si>
  <si>
    <t>Monster Beverage</t>
  </si>
  <si>
    <t>Endeavor</t>
  </si>
  <si>
    <t>Science Applications International</t>
  </si>
  <si>
    <t>Core &amp; Main</t>
  </si>
  <si>
    <t>Howmet Aerospace</t>
  </si>
  <si>
    <t>Ingredion</t>
  </si>
  <si>
    <t>Vulcan Materials</t>
  </si>
  <si>
    <t>Franchise Value</t>
  </si>
  <si>
    <t>Operating Inc</t>
  </si>
  <si>
    <t>Operating Income</t>
  </si>
  <si>
    <t>$8.8 billion</t>
  </si>
  <si>
    <t>$142 million</t>
  </si>
  <si>
    <t>$7.5 billion</t>
  </si>
  <si>
    <t>$182 million</t>
  </si>
  <si>
    <t>$7.1 billion</t>
  </si>
  <si>
    <t>$199 million</t>
  </si>
  <si>
    <t>$6.0 billion</t>
  </si>
  <si>
    <t>$121 million</t>
  </si>
  <si>
    <t>$5.5 billion</t>
  </si>
  <si>
    <t>$96 million</t>
  </si>
  <si>
    <t>$5.0 billion</t>
  </si>
  <si>
    <t>$140 million</t>
  </si>
  <si>
    <t>$4.9 billion</t>
  </si>
  <si>
    <t>$160 million</t>
  </si>
  <si>
    <t>$4.8 billion</t>
  </si>
  <si>
    <t>$43 million</t>
  </si>
  <si>
    <t>$4.7 billion</t>
  </si>
  <si>
    <t>$158 million</t>
  </si>
  <si>
    <t>$4.6 billion</t>
  </si>
  <si>
    <t>$120 million</t>
  </si>
  <si>
    <t>$4.4 billion</t>
  </si>
  <si>
    <t>$97 million</t>
  </si>
  <si>
    <t>$4.3 billion</t>
  </si>
  <si>
    <t>-$14 million</t>
  </si>
  <si>
    <t>$4.25 billion</t>
  </si>
  <si>
    <t>$62 million</t>
  </si>
  <si>
    <t>$4.1 billion</t>
  </si>
  <si>
    <t>$118 million</t>
  </si>
  <si>
    <t>$4.0 billion</t>
  </si>
  <si>
    <t>-$16 million</t>
  </si>
  <si>
    <t>$3.95 billion</t>
  </si>
  <si>
    <t>$3.9 billion</t>
  </si>
  <si>
    <t>$57 million</t>
  </si>
  <si>
    <t>$3.85 billion</t>
  </si>
  <si>
    <t>$3.8 billion</t>
  </si>
  <si>
    <t>$94 million</t>
  </si>
  <si>
    <t>$3.7 billion</t>
  </si>
  <si>
    <t>$54 million</t>
  </si>
  <si>
    <t>$3.65 billion</t>
  </si>
  <si>
    <t>$90 million</t>
  </si>
  <si>
    <t>$3.6 billion</t>
  </si>
  <si>
    <t>$3.55 billion</t>
  </si>
  <si>
    <t>$89 million</t>
  </si>
  <si>
    <t>$3.5 billion</t>
  </si>
  <si>
    <t>$81 million</t>
  </si>
  <si>
    <t>$3.4 billion</t>
  </si>
  <si>
    <t>$3.3 billion</t>
  </si>
  <si>
    <t>$84 million</t>
  </si>
  <si>
    <t>$3.2 billion</t>
  </si>
  <si>
    <t>$82 million</t>
  </si>
  <si>
    <t>$3.1 billion</t>
  </si>
  <si>
    <t>$72 million</t>
  </si>
  <si>
    <t>$3.05 billion</t>
  </si>
  <si>
    <t>$41 million</t>
  </si>
  <si>
    <t>$3.0 billion</t>
  </si>
  <si>
    <t>$44 million</t>
  </si>
  <si>
    <t>Expansion Cities</t>
  </si>
  <si>
    <t>Weighted Criteria Scores</t>
  </si>
  <si>
    <t>Average Weighted Criteria Score</t>
  </si>
  <si>
    <t>Row Labels</t>
  </si>
  <si>
    <t>Metro Area Population (2024)</t>
  </si>
  <si>
    <t>Growth of Population (% change since 2020)</t>
  </si>
  <si>
    <t>Averages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</si>
</sst>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quot;$&quot;#,##0_);[Red]\(&quot;$&quot;#,##0\)"/>
    <numFmt numFmtId="165" formatCode="_(&quot;$&quot;* #,##0.00_);_(&quot;$&quot;* \(#,##0.00\);_(&quot;$&quot;* &quot;-&quot;??_);_(@_)"/>
    <numFmt numFmtId="166" formatCode="_(* #,##0.00_);_(* \(#,##0.00\);_(* &quot;-&quot;??_);_(@_)"/>
    <numFmt numFmtId="167" formatCode="_(* #,##0_);_(* \(#,##0\);_(* &quot;-&quot;??_);_(@_)"/>
    <numFmt numFmtId="168" formatCode="&quot;$&quot;#,##0.00"/>
    <numFmt numFmtId="169" formatCode="_(&quot;$&quot;* #,##0_);_(&quot;$&quot;* \(#,##0\);_(&quot;$&quot;* &quot;-&quot;??_);_(@_)"/>
    <numFmt numFmtId="170" formatCode="0.000"/>
    <numFmt numFmtId="171" formatCode="&quot;$&quot;#,##0"/>
  </numFmts>
  <fonts count="10">
    <font>
      <sz val="11"/>
      <color theme="1"/>
      <name val="Aptos Narrow"/>
      <family val="2"/>
      <scheme val="minor"/>
    </font>
    <font>
      <sz val="11"/>
      <color theme="1"/>
      <name val="Aptos Narrow"/>
      <family val="2"/>
      <scheme val="minor"/>
    </font>
    <font>
      <sz val="8"/>
      <name val="Aptos Narrow"/>
      <family val="2"/>
      <scheme val="minor"/>
    </font>
    <font>
      <sz val="10"/>
      <name val="Arial"/>
      <family val="2"/>
    </font>
    <font>
      <b/>
      <sz val="10"/>
      <name val="Arial"/>
      <family val="2"/>
    </font>
    <font>
      <sz val="8.5"/>
      <name val="Arial"/>
      <family val="2"/>
    </font>
    <font>
      <sz val="11"/>
      <name val="Calibri"/>
      <family val="2"/>
    </font>
    <font>
      <sz val="10"/>
      <color theme="0"/>
      <name val="Arial"/>
      <family val="2"/>
    </font>
    <font>
      <b/>
      <sz val="11"/>
      <color theme="0"/>
      <name val="Aptos Narrow"/>
      <family val="2"/>
      <scheme val="minor"/>
    </font>
    <font>
      <b/>
      <sz val="11"/>
      <color theme="1"/>
      <name val="Aptos Narrow"/>
      <family val="2"/>
      <scheme val="minor"/>
    </font>
  </fonts>
  <fills count="4">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s>
  <borders count="13">
    <border>
      <left/>
      <right/>
      <top/>
      <bottom/>
      <diagonal/>
    </border>
    <border>
      <left/>
      <right style="thin">
        <color indexed="8"/>
      </right>
      <top/>
      <bottom/>
      <diagonal/>
    </border>
    <border>
      <left style="thin">
        <color indexed="8"/>
      </left>
      <right style="thin">
        <color indexed="8"/>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
    <xf numFmtId="0" fontId="0" fillId="0" borderId="0"/>
    <xf numFmtId="166" fontId="1" fillId="0" borderId="0" applyFont="0" applyFill="0" applyBorder="0" applyAlignment="0" applyProtection="0"/>
    <xf numFmtId="9" fontId="1" fillId="0" borderId="0" applyFont="0" applyFill="0" applyBorder="0" applyAlignment="0" applyProtection="0"/>
    <xf numFmtId="165" fontId="1" fillId="0" borderId="0" applyFont="0" applyFill="0" applyBorder="0" applyAlignment="0" applyProtection="0"/>
  </cellStyleXfs>
  <cellXfs count="102">
    <xf numFmtId="0" fontId="0" fillId="0" borderId="0" xfId="0"/>
    <xf numFmtId="3" fontId="0" fillId="0" borderId="0" xfId="0" applyNumberFormat="1"/>
    <xf numFmtId="167" fontId="0" fillId="0" borderId="0" xfId="1" applyNumberFormat="1" applyFont="1"/>
    <xf numFmtId="164" fontId="0" fillId="0" borderId="0" xfId="0" applyNumberFormat="1"/>
    <xf numFmtId="0" fontId="4" fillId="0" borderId="1" xfId="0" applyFont="1" applyBorder="1" applyAlignment="1">
      <alignment horizontal="left" indent="5"/>
    </xf>
    <xf numFmtId="3" fontId="4" fillId="0" borderId="2" xfId="0" applyNumberFormat="1" applyFont="1" applyBorder="1" applyAlignment="1">
      <alignment horizontal="right"/>
    </xf>
    <xf numFmtId="0" fontId="4" fillId="0" borderId="2" xfId="0" applyFont="1" applyBorder="1" applyAlignment="1">
      <alignment horizontal="right"/>
    </xf>
    <xf numFmtId="0" fontId="3" fillId="0" borderId="1" xfId="0" applyFont="1" applyBorder="1" applyAlignment="1">
      <alignment horizontal="left"/>
    </xf>
    <xf numFmtId="3" fontId="3" fillId="0" borderId="2" xfId="0" applyNumberFormat="1" applyFont="1" applyBorder="1" applyAlignment="1">
      <alignment horizontal="right"/>
    </xf>
    <xf numFmtId="0" fontId="3" fillId="0" borderId="2" xfId="0" applyFont="1" applyBorder="1" applyAlignment="1">
      <alignment horizontal="right"/>
    </xf>
    <xf numFmtId="0" fontId="3" fillId="0" borderId="0" xfId="0" applyFont="1"/>
    <xf numFmtId="168" fontId="0" fillId="0" borderId="0" xfId="0" applyNumberFormat="1"/>
    <xf numFmtId="169" fontId="0" fillId="0" borderId="0" xfId="3" applyNumberFormat="1" applyFont="1" applyAlignment="1">
      <alignment horizontal="right"/>
    </xf>
    <xf numFmtId="1" fontId="0" fillId="0" borderId="0" xfId="0" applyNumberFormat="1"/>
    <xf numFmtId="0" fontId="0" fillId="0" borderId="3" xfId="0" applyBorder="1"/>
    <xf numFmtId="0" fontId="0" fillId="0" borderId="4" xfId="0" applyBorder="1"/>
    <xf numFmtId="0" fontId="6" fillId="2" borderId="5" xfId="0" applyFont="1" applyFill="1" applyBorder="1" applyAlignment="1">
      <alignment vertical="center" wrapText="1"/>
    </xf>
    <xf numFmtId="0" fontId="0" fillId="0" borderId="6" xfId="0" applyBorder="1"/>
    <xf numFmtId="0" fontId="0" fillId="0" borderId="7" xfId="0" applyBorder="1"/>
    <xf numFmtId="0" fontId="0" fillId="0" borderId="3" xfId="0" applyBorder="1" applyAlignment="1">
      <alignment horizontal="left"/>
    </xf>
    <xf numFmtId="0" fontId="0" fillId="0" borderId="8" xfId="0" applyBorder="1" applyAlignment="1">
      <alignment horizontal="left"/>
    </xf>
    <xf numFmtId="0" fontId="0" fillId="0" borderId="8" xfId="0" applyBorder="1" applyAlignment="1">
      <alignment horizontal="left" wrapText="1"/>
    </xf>
    <xf numFmtId="167" fontId="0" fillId="0" borderId="8" xfId="1" applyNumberFormat="1" applyFont="1" applyBorder="1" applyAlignment="1">
      <alignment horizontal="left"/>
    </xf>
    <xf numFmtId="0" fontId="0" fillId="0" borderId="9" xfId="0" applyBorder="1"/>
    <xf numFmtId="167" fontId="0" fillId="0" borderId="6" xfId="1" applyNumberFormat="1" applyFont="1" applyBorder="1"/>
    <xf numFmtId="0" fontId="0" fillId="0" borderId="10" xfId="0" applyBorder="1"/>
    <xf numFmtId="167" fontId="0" fillId="0" borderId="6" xfId="1" applyNumberFormat="1" applyFont="1" applyBorder="1" applyAlignment="1" applyProtection="1">
      <alignment horizontal="right"/>
    </xf>
    <xf numFmtId="0" fontId="0" fillId="0" borderId="6" xfId="0" applyBorder="1" applyAlignment="1">
      <alignment wrapText="1"/>
    </xf>
    <xf numFmtId="0" fontId="0" fillId="0" borderId="5" xfId="0" applyBorder="1"/>
    <xf numFmtId="0" fontId="0" fillId="0" borderId="11" xfId="0" applyBorder="1"/>
    <xf numFmtId="167" fontId="0" fillId="0" borderId="11" xfId="1" applyNumberFormat="1" applyFont="1" applyBorder="1"/>
    <xf numFmtId="0" fontId="0" fillId="0" borderId="8" xfId="0" applyBorder="1"/>
    <xf numFmtId="167" fontId="0" fillId="0" borderId="8" xfId="1" applyNumberFormat="1" applyFont="1" applyBorder="1"/>
    <xf numFmtId="169" fontId="0" fillId="0" borderId="8" xfId="3" applyNumberFormat="1" applyFont="1" applyBorder="1" applyAlignment="1">
      <alignment horizontal="left" wrapText="1"/>
    </xf>
    <xf numFmtId="0" fontId="0" fillId="0" borderId="8" xfId="0" applyBorder="1" applyAlignment="1">
      <alignment wrapText="1"/>
    </xf>
    <xf numFmtId="168" fontId="0" fillId="0" borderId="8" xfId="0" applyNumberFormat="1" applyBorder="1" applyAlignment="1">
      <alignment wrapText="1"/>
    </xf>
    <xf numFmtId="167" fontId="0" fillId="0" borderId="6" xfId="1" applyNumberFormat="1" applyFont="1" applyBorder="1" applyAlignment="1">
      <alignment horizontal="right"/>
    </xf>
    <xf numFmtId="1" fontId="0" fillId="0" borderId="6" xfId="0" applyNumberFormat="1" applyBorder="1"/>
    <xf numFmtId="167" fontId="0" fillId="0" borderId="11" xfId="1" applyNumberFormat="1" applyFont="1" applyBorder="1" applyAlignment="1">
      <alignment horizontal="right"/>
    </xf>
    <xf numFmtId="0" fontId="7" fillId="0" borderId="6" xfId="0" applyFont="1" applyBorder="1" applyAlignment="1">
      <alignment wrapText="1"/>
    </xf>
    <xf numFmtId="0" fontId="7" fillId="0" borderId="6" xfId="0" applyFont="1" applyBorder="1" applyAlignment="1">
      <alignment horizontal="center" vertical="center" wrapText="1"/>
    </xf>
    <xf numFmtId="0" fontId="3" fillId="0" borderId="6" xfId="0" applyFont="1" applyBorder="1" applyAlignment="1">
      <alignment horizontal="left"/>
    </xf>
    <xf numFmtId="3" fontId="3" fillId="0" borderId="6" xfId="0" applyNumberFormat="1" applyFont="1" applyBorder="1" applyAlignment="1">
      <alignment horizontal="right"/>
    </xf>
    <xf numFmtId="0" fontId="6" fillId="2" borderId="9" xfId="0" applyFont="1" applyFill="1" applyBorder="1" applyAlignment="1">
      <alignment vertical="center" wrapText="1"/>
    </xf>
    <xf numFmtId="0" fontId="0" fillId="2" borderId="6" xfId="0" applyFill="1" applyBorder="1"/>
    <xf numFmtId="0" fontId="8" fillId="3" borderId="8" xfId="0" applyFont="1" applyFill="1" applyBorder="1" applyAlignment="1">
      <alignment horizontal="left"/>
    </xf>
    <xf numFmtId="0" fontId="0" fillId="2" borderId="9" xfId="0" applyFill="1" applyBorder="1"/>
    <xf numFmtId="0" fontId="8" fillId="3" borderId="3" xfId="0" applyFont="1" applyFill="1" applyBorder="1" applyAlignment="1">
      <alignment horizontal="left"/>
    </xf>
    <xf numFmtId="170" fontId="0" fillId="0" borderId="6" xfId="0" applyNumberFormat="1" applyBorder="1"/>
    <xf numFmtId="1" fontId="0" fillId="0" borderId="11" xfId="0" applyNumberFormat="1" applyBorder="1"/>
    <xf numFmtId="2" fontId="0" fillId="0" borderId="6" xfId="2" applyNumberFormat="1" applyFont="1" applyBorder="1" applyAlignment="1">
      <alignment horizontal="right"/>
    </xf>
    <xf numFmtId="2" fontId="0" fillId="0" borderId="6" xfId="2" applyNumberFormat="1" applyFont="1" applyBorder="1" applyAlignment="1" applyProtection="1">
      <alignment horizontal="right"/>
    </xf>
    <xf numFmtId="2" fontId="0" fillId="0" borderId="11" xfId="2" applyNumberFormat="1" applyFont="1" applyBorder="1" applyAlignment="1">
      <alignment horizontal="right"/>
    </xf>
    <xf numFmtId="1" fontId="0" fillId="0" borderId="6" xfId="0" quotePrefix="1" applyNumberFormat="1" applyBorder="1"/>
    <xf numFmtId="0" fontId="8" fillId="3" borderId="8" xfId="0" applyFont="1" applyFill="1" applyBorder="1" applyAlignment="1">
      <alignment horizontal="left" wrapText="1"/>
    </xf>
    <xf numFmtId="1" fontId="0" fillId="0" borderId="10" xfId="0" applyNumberFormat="1" applyBorder="1"/>
    <xf numFmtId="169" fontId="0" fillId="0" borderId="6" xfId="3" applyNumberFormat="1" applyFont="1" applyBorder="1"/>
    <xf numFmtId="0" fontId="8" fillId="3" borderId="6" xfId="0" applyFont="1" applyFill="1" applyBorder="1"/>
    <xf numFmtId="167" fontId="8" fillId="3" borderId="6" xfId="1" applyNumberFormat="1" applyFont="1" applyFill="1" applyBorder="1"/>
    <xf numFmtId="167" fontId="0" fillId="2" borderId="6" xfId="1" applyNumberFormat="1" applyFont="1" applyFill="1" applyBorder="1"/>
    <xf numFmtId="0" fontId="8" fillId="3" borderId="9" xfId="0" applyFont="1" applyFill="1" applyBorder="1"/>
    <xf numFmtId="0" fontId="8" fillId="3" borderId="3" xfId="0" applyFont="1" applyFill="1" applyBorder="1"/>
    <xf numFmtId="0" fontId="8" fillId="3" borderId="8" xfId="0" applyFont="1" applyFill="1" applyBorder="1"/>
    <xf numFmtId="0" fontId="8" fillId="3" borderId="6" xfId="0" applyFont="1" applyFill="1" applyBorder="1" applyAlignment="1">
      <alignment horizontal="left" wrapText="1"/>
    </xf>
    <xf numFmtId="0" fontId="8" fillId="3" borderId="4" xfId="0" applyFont="1" applyFill="1" applyBorder="1" applyAlignment="1">
      <alignment horizontal="left" wrapText="1"/>
    </xf>
    <xf numFmtId="167" fontId="0" fillId="2" borderId="6" xfId="1" applyNumberFormat="1" applyFont="1" applyFill="1" applyBorder="1" applyAlignment="1">
      <alignment horizontal="right"/>
    </xf>
    <xf numFmtId="167" fontId="8" fillId="3" borderId="8" xfId="1" applyNumberFormat="1" applyFont="1" applyFill="1" applyBorder="1"/>
    <xf numFmtId="2" fontId="0" fillId="0" borderId="10" xfId="0" applyNumberFormat="1" applyBorder="1" applyAlignment="1">
      <alignment horizontal="right"/>
    </xf>
    <xf numFmtId="2" fontId="0" fillId="0" borderId="6" xfId="0" applyNumberFormat="1" applyBorder="1" applyAlignment="1">
      <alignment horizontal="right"/>
    </xf>
    <xf numFmtId="2" fontId="0" fillId="0" borderId="11" xfId="0" applyNumberFormat="1" applyBorder="1" applyAlignment="1">
      <alignment horizontal="right"/>
    </xf>
    <xf numFmtId="2" fontId="0" fillId="0" borderId="10" xfId="2" applyNumberFormat="1" applyFont="1" applyBorder="1" applyAlignment="1">
      <alignment horizontal="right" wrapText="1"/>
    </xf>
    <xf numFmtId="2" fontId="0" fillId="0" borderId="7" xfId="2" applyNumberFormat="1" applyFont="1" applyBorder="1" applyAlignment="1">
      <alignment horizontal="right" wrapText="1"/>
    </xf>
    <xf numFmtId="1" fontId="0" fillId="0" borderId="6" xfId="1" applyNumberFormat="1" applyFont="1" applyBorder="1"/>
    <xf numFmtId="171" fontId="0" fillId="0" borderId="6" xfId="0" applyNumberFormat="1" applyBorder="1"/>
    <xf numFmtId="0" fontId="0" fillId="0" borderId="10" xfId="0" quotePrefix="1" applyBorder="1"/>
    <xf numFmtId="171" fontId="0" fillId="0" borderId="0" xfId="3" applyNumberFormat="1" applyFont="1" applyBorder="1"/>
    <xf numFmtId="171" fontId="0" fillId="0" borderId="10" xfId="3" applyNumberFormat="1" applyFont="1" applyBorder="1"/>
    <xf numFmtId="0" fontId="0" fillId="0" borderId="4" xfId="0" applyBorder="1" applyAlignment="1">
      <alignment horizontal="left" wrapText="1"/>
    </xf>
    <xf numFmtId="2" fontId="0" fillId="2" borderId="6" xfId="0" applyNumberFormat="1" applyFill="1" applyBorder="1" applyAlignment="1">
      <alignment horizontal="right"/>
    </xf>
    <xf numFmtId="169" fontId="8" fillId="3" borderId="6" xfId="3" applyNumberFormat="1" applyFont="1" applyFill="1" applyBorder="1" applyAlignment="1">
      <alignment horizontal="left" wrapText="1"/>
    </xf>
    <xf numFmtId="2" fontId="0" fillId="2" borderId="6" xfId="2" applyNumberFormat="1" applyFont="1" applyFill="1" applyBorder="1" applyAlignment="1">
      <alignment horizontal="right"/>
    </xf>
    <xf numFmtId="1" fontId="0" fillId="2" borderId="6" xfId="1" applyNumberFormat="1" applyFont="1" applyFill="1" applyBorder="1"/>
    <xf numFmtId="1" fontId="0" fillId="2" borderId="6" xfId="0" applyNumberFormat="1" applyFill="1" applyBorder="1" applyAlignment="1">
      <alignment horizontal="right"/>
    </xf>
    <xf numFmtId="1" fontId="0" fillId="2" borderId="6" xfId="1" applyNumberFormat="1" applyFont="1" applyFill="1" applyBorder="1" applyAlignment="1">
      <alignment horizontal="right"/>
    </xf>
    <xf numFmtId="1" fontId="0" fillId="2" borderId="6" xfId="0" applyNumberFormat="1" applyFill="1" applyBorder="1"/>
    <xf numFmtId="1" fontId="0" fillId="2" borderId="0" xfId="2" applyNumberFormat="1" applyFont="1" applyFill="1" applyBorder="1" applyAlignment="1">
      <alignment horizontal="right"/>
    </xf>
    <xf numFmtId="1" fontId="0" fillId="2" borderId="0" xfId="0" applyNumberFormat="1" applyFill="1"/>
    <xf numFmtId="0" fontId="8" fillId="3" borderId="12" xfId="0" applyFont="1" applyFill="1" applyBorder="1" applyAlignment="1">
      <alignment wrapText="1"/>
    </xf>
    <xf numFmtId="0" fontId="8" fillId="3" borderId="8" xfId="0" applyFont="1" applyFill="1" applyBorder="1" applyAlignment="1">
      <alignment wrapText="1"/>
    </xf>
    <xf numFmtId="169" fontId="8" fillId="3" borderId="8" xfId="3" applyNumberFormat="1" applyFont="1" applyFill="1" applyBorder="1" applyAlignment="1">
      <alignment horizontal="left" wrapText="1"/>
    </xf>
    <xf numFmtId="0" fontId="8" fillId="3" borderId="4" xfId="0" applyFont="1" applyFill="1" applyBorder="1"/>
    <xf numFmtId="1" fontId="0" fillId="0" borderId="4" xfId="0" applyNumberFormat="1" applyBorder="1"/>
    <xf numFmtId="1" fontId="0" fillId="0" borderId="8" xfId="0" applyNumberFormat="1" applyBorder="1"/>
    <xf numFmtId="0" fontId="0" fillId="0" borderId="0" xfId="0" pivotButton="1"/>
    <xf numFmtId="0" fontId="0" fillId="0" borderId="0" xfId="0" applyAlignment="1">
      <alignment horizontal="left"/>
    </xf>
    <xf numFmtId="0" fontId="0" fillId="0" borderId="0" xfId="0" applyAlignment="1">
      <alignment horizontal="left" indent="1"/>
    </xf>
    <xf numFmtId="1" fontId="9" fillId="0" borderId="0" xfId="0" applyNumberFormat="1" applyFont="1"/>
    <xf numFmtId="0" fontId="9" fillId="0" borderId="0" xfId="0" applyFont="1" applyAlignment="1">
      <alignment horizontal="left" indent="1"/>
    </xf>
    <xf numFmtId="167" fontId="0" fillId="0" borderId="0" xfId="0" applyNumberFormat="1"/>
    <xf numFmtId="2" fontId="0" fillId="0" borderId="0" xfId="0" applyNumberFormat="1"/>
    <xf numFmtId="0" fontId="5" fillId="0" borderId="0" xfId="0" applyFont="1" applyAlignment="1">
      <alignment horizontal="left" wrapText="1"/>
    </xf>
    <xf numFmtId="0" fontId="5" fillId="0" borderId="0" xfId="0" applyFont="1" applyAlignment="1"/>
  </cellXfs>
  <cellStyles count="4">
    <cellStyle name="Comma" xfId="1" builtinId="3"/>
    <cellStyle name="Currency" xfId="3" builtinId="4"/>
    <cellStyle name="Normal" xfId="0" builtinId="0"/>
    <cellStyle name="Percent" xfId="2" builtinId="5"/>
  </cellStyles>
  <dxfs count="289">
    <dxf>
      <numFmt numFmtId="171" formatCode="&quot;$&quot;#,##0"/>
    </dxf>
    <dxf>
      <numFmt numFmtId="0" formatCode="General"/>
      <border diagonalUp="0" diagonalDown="0" outline="0">
        <left/>
        <right/>
        <top style="thin">
          <color indexed="64"/>
        </top>
        <bottom style="thin">
          <color indexed="64"/>
        </bottom>
      </border>
    </dxf>
    <dxf>
      <numFmt numFmtId="171" formatCode="&quot;$&quot;#,##0"/>
      <border diagonalUp="0" diagonalDown="0" outline="0">
        <left style="thin">
          <color indexed="64"/>
        </left>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numFmt numFmtId="0" formatCode="General"/>
      <border diagonalUp="0" diagonalDown="0">
        <left style="thin">
          <color indexed="64"/>
        </left>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numFmt numFmtId="0" formatCode="Genera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auto="1"/>
        <name val="Arial"/>
        <family val="2"/>
        <scheme val="none"/>
      </font>
      <numFmt numFmtId="3" formatCode="#,##0"/>
      <alignment horizontal="right"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0"/>
        <color auto="1"/>
        <name val="Arial"/>
        <family val="2"/>
        <scheme val="none"/>
      </font>
      <numFmt numFmtId="3" formatCode="#,##0"/>
      <alignment horizontal="right"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right style="thin">
          <color indexed="8"/>
        </right>
        <top/>
        <bottom/>
      </border>
    </dxf>
    <dxf>
      <border outline="0">
        <left style="thin">
          <color indexed="8"/>
        </left>
        <right style="thin">
          <color indexed="8"/>
        </right>
        <top style="thin">
          <color indexed="8"/>
        </top>
        <bottom style="thin">
          <color indexed="8"/>
        </bottom>
      </border>
    </dxf>
    <dxf>
      <font>
        <b val="0"/>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strike val="0"/>
        <outline val="0"/>
        <shadow val="0"/>
        <u val="none"/>
        <vertAlign val="baseline"/>
        <sz val="10"/>
        <color theme="0"/>
        <name val="Arial"/>
        <family val="2"/>
        <scheme val="none"/>
      </font>
    </dxf>
    <dxf>
      <font>
        <b val="0"/>
        <i val="0"/>
        <strike val="0"/>
        <condense val="0"/>
        <extend val="0"/>
        <outline val="0"/>
        <shadow val="0"/>
        <u val="none"/>
        <vertAlign val="baseline"/>
        <sz val="11"/>
        <color theme="1"/>
        <name val="Aptos Narrow"/>
        <family val="2"/>
        <scheme val="minor"/>
      </font>
      <numFmt numFmtId="2" formatCode="0.00"/>
      <alignment horizontal="right" vertical="bottom"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auto="1"/>
        <name val="Calibri"/>
        <family val="2"/>
        <scheme val="none"/>
      </font>
      <fill>
        <patternFill patternType="solid">
          <fgColor theme="4" tint="0.79998168889431442"/>
          <bgColor theme="4" tint="0.79998168889431442"/>
        </patternFill>
      </fill>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color rgb="FF006100"/>
      </font>
      <fill>
        <patternFill>
          <bgColor rgb="FFC6EFCE"/>
        </patternFill>
      </fill>
    </dxf>
    <dxf>
      <font>
        <color rgb="FF9C0006"/>
      </font>
      <fill>
        <patternFill>
          <bgColor rgb="FFFFC7CE"/>
        </patternFill>
      </fill>
    </dxf>
    <dxf>
      <numFmt numFmtId="2" formatCode="0.00"/>
      <alignment horizontal="right"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7" formatCode="_(* #,##0_);_(* \(#,##0\);_(* &quot;-&quot;??_);_(@_)"/>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numFmt numFmtId="1" formatCode="0"/>
    </dxf>
    <dxf>
      <font>
        <b val="0"/>
        <i val="0"/>
        <strike val="0"/>
        <condense val="0"/>
        <extend val="0"/>
        <outline val="0"/>
        <shadow val="0"/>
        <u val="none"/>
        <vertAlign val="baseline"/>
        <sz val="11"/>
        <color theme="1"/>
        <name val="Aptos Narrow"/>
        <family val="2"/>
        <scheme val="minor"/>
      </font>
      <numFmt numFmtId="1" formatCode="0"/>
    </dxf>
    <dxf>
      <font>
        <b val="0"/>
        <i val="0"/>
        <strike val="0"/>
        <condense val="0"/>
        <extend val="0"/>
        <outline val="0"/>
        <shadow val="0"/>
        <u val="none"/>
        <vertAlign val="baseline"/>
        <sz val="11"/>
        <color theme="1"/>
        <name val="Aptos Narrow"/>
        <family val="2"/>
        <scheme val="minor"/>
      </font>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numFmt numFmtId="1" formatCode="0"/>
      <alignment horizontal="right"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numFmt numFmtId="1" formatCode="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numFmt numFmtId="1" formatCode="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numFmt numFmtId="1" formatCode="0"/>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numFmt numFmtId="167"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numFmt numFmtId="1" formatCode="0"/>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numFmt numFmtId="2" formatCode="0.00"/>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numFmt numFmtId="1" formatCode="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numFmt numFmtId="167" formatCode="_(* #,##0_);_(* \(#,##0\);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family val="2"/>
        <scheme val="minor"/>
      </font>
      <border diagonalUp="0" diagonalDown="0">
        <left/>
        <right style="thin">
          <color indexed="64"/>
        </right>
        <top style="thin">
          <color indexed="64"/>
        </top>
        <bottom style="thin">
          <color indexed="64"/>
        </bottom>
        <vertical/>
        <horizontal/>
      </border>
    </dxf>
    <dxf>
      <border outline="0">
        <left style="thin">
          <color indexed="64"/>
        </left>
      </border>
    </dxf>
    <dxf>
      <numFmt numFmtId="1" formatCode="0"/>
      <border diagonalUp="0" diagonalDown="0" outline="0">
        <left style="thin">
          <color indexed="64"/>
        </left>
        <right/>
        <top style="thin">
          <color indexed="64"/>
        </top>
        <bottom style="thin">
          <color indexed="64"/>
        </bottom>
      </border>
    </dxf>
    <dxf>
      <numFmt numFmtId="1" formatCode="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border diagonalUp="0" diagonalDown="0" outline="0">
        <left style="thin">
          <color indexed="64"/>
        </left>
        <right style="thin">
          <color indexed="64"/>
        </right>
        <top style="thin">
          <color indexed="64"/>
        </top>
        <bottom style="thin">
          <color indexed="64"/>
        </bottom>
      </border>
    </dxf>
    <dxf>
      <numFmt numFmtId="2" formatCode="0.00"/>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border diagonalUp="0" diagonalDown="0" outline="0">
        <left style="thin">
          <color indexed="64"/>
        </left>
        <right style="thin">
          <color indexed="64"/>
        </right>
        <top style="thin">
          <color indexed="64"/>
        </top>
        <bottom style="thin">
          <color indexed="64"/>
        </bottom>
      </border>
    </dxf>
    <dxf>
      <numFmt numFmtId="1" formatCode="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_(* #,##0_);_(* \(#,##0\);_(* &quot;-&quot;??_);_(@_)"/>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1" formatCode="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ptos Narrow"/>
        <family val="2"/>
        <scheme val="minor"/>
      </font>
      <numFmt numFmtId="167" formatCode="_(* #,##0_);_(* \(#,##0\);_(* &quot;-&quot;??_);_(@_)"/>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1"/>
        <color theme="1"/>
        <name val="Aptos Narrow"/>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ptos Narrow"/>
        <family val="2"/>
        <scheme val="minor"/>
      </font>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alignment horizontal="left"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 formatCode="0"/>
      <border diagonalUp="0" diagonalDown="0" outline="0">
        <left/>
        <right style="thin">
          <color indexed="64"/>
        </right>
        <top style="thin">
          <color indexed="64"/>
        </top>
        <bottom style="thin">
          <color indexed="64"/>
        </bottom>
      </border>
    </dxf>
    <dxf>
      <numFmt numFmtId="1" formatCode="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numFmt numFmtId="1" formatCode="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numFmt numFmtId="1" formatCode="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numFmt numFmtId="1" formatCode="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numFmt numFmtId="1" formatCode="0"/>
      <border diagonalUp="0" diagonalDown="0" outline="0">
        <left style="thin">
          <color indexed="64"/>
        </left>
        <right style="thin">
          <color indexed="64"/>
        </right>
        <top style="thin">
          <color indexed="64"/>
        </top>
        <bottom style="thin">
          <color indexed="64"/>
        </bottom>
      </border>
    </dxf>
    <dxf>
      <numFmt numFmtId="167" formatCode="_(* #,##0_);_(* \(#,##0\);_(* &quot;-&quot;??_);_(@_)"/>
      <border diagonalUp="0" diagonalDown="0" outline="0">
        <left style="thin">
          <color indexed="64"/>
        </left>
        <right style="thin">
          <color indexed="64"/>
        </right>
        <top style="thin">
          <color indexed="64"/>
        </top>
        <bottom style="thin">
          <color indexed="64"/>
        </bottom>
      </border>
    </dxf>
    <dxf>
      <numFmt numFmtId="1" formatCode="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numFmt numFmtId="1" formatCode="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numFmt numFmtId="167" formatCode="_(* #,##0_);_(* \(#,##0\);_(* &quot;-&quot;??_);_(@_)"/>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ptos Narrow"/>
        <family val="2"/>
        <scheme val="minor"/>
      </font>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numFmt numFmtId="1" formatCode="0"/>
    </dxf>
    <dxf>
      <numFmt numFmtId="1" formatCode="0"/>
    </dxf>
    <dxf>
      <numFmt numFmtId="171" formatCode="&quot;$&quot;#,##0"/>
      <border diagonalUp="0" diagonalDown="0" outline="0">
        <left style="thin">
          <color indexed="64"/>
        </left>
        <right/>
        <top style="thin">
          <color indexed="64"/>
        </top>
        <bottom style="thin">
          <color indexed="64"/>
        </bottom>
      </border>
    </dxf>
    <dxf>
      <numFmt numFmtId="168" formatCode="&quot;$&quot;#,##0.00"/>
      <border diagonalUp="0" diagonalDown="0" outline="0">
        <left style="thin">
          <color indexed="64"/>
        </left>
        <right style="thin">
          <color indexed="64"/>
        </right>
        <top style="thin">
          <color indexed="64"/>
        </top>
        <bottom/>
      </border>
    </dxf>
    <dxf>
      <numFmt numFmtId="171" formatCode="&quot;$&quot;#,##0"/>
      <border diagonalUp="0" diagonalDown="0" outline="0">
        <left style="thin">
          <color indexed="64"/>
        </left>
        <right style="thin">
          <color indexed="64"/>
        </right>
        <top style="thin">
          <color indexed="64"/>
        </top>
        <bottom style="thin">
          <color indexed="64"/>
        </bottom>
      </border>
    </dxf>
    <dxf>
      <numFmt numFmtId="168" formatCode="&quot;$&quot;#,##0.00"/>
      <border diagonalUp="0" diagonalDown="0" outline="0">
        <left style="thin">
          <color indexed="64"/>
        </left>
        <right style="thin">
          <color indexed="64"/>
        </right>
        <top style="thin">
          <color indexed="64"/>
        </top>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border>
    </dxf>
    <dxf>
      <numFmt numFmtId="167" formatCode="_(* #,##0_);_(* \(#,##0\);_(* &quot;-&quot;??_);_(@_)"/>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ptos Narrow"/>
        <family val="2"/>
        <scheme val="minor"/>
      </font>
      <numFmt numFmtId="167" formatCode="_(* #,##0_);_(* \(#,##0\);_(* &quot;-&quot;??_);_(@_)"/>
      <border diagonalUp="0" diagonalDown="0" outline="0">
        <left style="thin">
          <color indexed="64"/>
        </left>
        <right style="thin">
          <color indexed="64"/>
        </right>
        <top style="thin">
          <color indexed="64"/>
        </top>
        <bottom/>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outline="0">
        <left style="thin">
          <color indexed="64"/>
        </left>
        <right style="thin">
          <color indexed="64"/>
        </right>
        <top style="thin">
          <color indexed="64"/>
        </top>
        <bottom/>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outline="0">
        <left style="thin">
          <color indexed="64"/>
        </left>
        <right style="thin">
          <color indexed="64"/>
        </right>
        <top style="thin">
          <color indexed="64"/>
        </top>
        <bottom/>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outline="0">
        <left style="thin">
          <color indexed="64"/>
        </left>
        <right style="thin">
          <color indexed="64"/>
        </right>
        <top style="thin">
          <color indexed="64"/>
        </top>
        <bottom/>
      </border>
    </dxf>
    <dxf>
      <numFmt numFmtId="172" formatCode="0.0%"/>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ptos Narrow"/>
        <family val="2"/>
        <scheme val="minor"/>
      </font>
      <numFmt numFmtId="172" formatCode="0.0%"/>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ptos Narrow"/>
        <family val="2"/>
        <scheme val="minor"/>
      </font>
      <numFmt numFmtId="0" formatCode="Genera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7"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numFmt numFmtId="167"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numFmt numFmtId="172" formatCode="0.0%"/>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border diagonalUp="0" diagonalDown="0" outline="0">
        <left style="thin">
          <color indexed="64"/>
        </left>
        <right style="thin">
          <color indexed="64"/>
        </right>
        <top style="thin">
          <color indexed="64"/>
        </top>
        <bottom style="thin">
          <color indexed="64"/>
        </bottom>
      </border>
    </dxf>
    <dxf>
      <numFmt numFmtId="173" formatCode="\+0.00%"/>
      <border diagonalUp="0" diagonalDown="0" outline="0">
        <left style="thin">
          <color indexed="64"/>
        </left>
        <right style="thin">
          <color indexed="64"/>
        </right>
        <top style="thin">
          <color indexed="64"/>
        </top>
        <bottom/>
      </border>
    </dxf>
    <dxf>
      <numFmt numFmtId="167" formatCode="_(* #,##0_);_(* \(#,##0\);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numFmt numFmtId="167" formatCode="_(* #,##0_);_(* \(#,##0\);_(* &quot;-&quot;??_);_(@_)"/>
      <border diagonalUp="0" diagonalDown="0" outline="0">
        <left style="thin">
          <color indexed="64"/>
        </left>
        <right style="thin">
          <color indexed="64"/>
        </right>
        <top style="thin">
          <color indexed="64"/>
        </top>
        <bottom/>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outline="0">
        <left style="thin">
          <color indexed="64"/>
        </left>
        <right style="thin">
          <color indexed="64"/>
        </right>
        <top style="thin">
          <color indexed="64"/>
        </top>
        <bottom/>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outline="0">
        <left style="thin">
          <color indexed="64"/>
        </left>
        <right style="thin">
          <color indexed="64"/>
        </right>
        <top style="thin">
          <color indexed="64"/>
        </top>
        <bottom/>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outline="0">
        <left style="thin">
          <color indexed="64"/>
        </left>
        <right style="thin">
          <color indexed="64"/>
        </right>
        <top style="thin">
          <color indexed="64"/>
        </top>
        <bottom/>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outline="0">
        <left style="thin">
          <color indexed="64"/>
        </left>
        <right style="thin">
          <color indexed="64"/>
        </right>
        <top style="thin">
          <color indexed="64"/>
        </top>
        <bottom/>
      </border>
    </dxf>
    <dxf>
      <numFmt numFmtId="0" formatCode="General"/>
      <border diagonalUp="0" diagonalDown="0">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outline="0">
        <left/>
        <right style="thin">
          <color indexed="64"/>
        </right>
        <top style="thin">
          <color indexed="64"/>
        </top>
        <bottom/>
      </border>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numFmt numFmtId="1" formatCode="0"/>
    </dxf>
    <dxf>
      <font>
        <b val="0"/>
        <i val="0"/>
        <strike val="0"/>
        <condense val="0"/>
        <extend val="0"/>
        <outline val="0"/>
        <shadow val="0"/>
        <u val="none"/>
        <vertAlign val="baseline"/>
        <sz val="11"/>
        <color theme="1"/>
        <name val="Aptos Narrow"/>
        <family val="2"/>
        <scheme val="minor"/>
      </font>
      <border diagonalUp="0" diagonalDown="0">
        <left style="thin">
          <color indexed="64"/>
        </left>
        <right style="thin">
          <color indexed="64"/>
        </right>
        <top/>
        <bottom/>
        <vertical style="thin">
          <color indexed="64"/>
        </vertical>
        <horizontal style="thin">
          <color indexed="64"/>
        </horizontal>
      </border>
    </dxf>
    <dxf>
      <numFmt numFmtId="1" formatCode="0"/>
      <border diagonalUp="0" diagonalDown="0" outline="0">
        <left style="thin">
          <color indexed="64"/>
        </left>
        <right/>
        <top style="thin">
          <color indexed="64"/>
        </top>
        <bottom style="thin">
          <color indexed="64"/>
        </bottom>
      </border>
    </dxf>
    <dxf>
      <numFmt numFmtId="1" formatCode="0"/>
      <border diagonalUp="0" diagonalDown="0" outline="0">
        <left style="thin">
          <color indexed="64"/>
        </left>
        <right/>
        <top style="thin">
          <color indexed="64"/>
        </top>
        <bottom/>
      </border>
    </dxf>
    <dxf>
      <font>
        <b val="0"/>
        <i val="0"/>
        <strike val="0"/>
        <condense val="0"/>
        <extend val="0"/>
        <outline val="0"/>
        <shadow val="0"/>
        <u val="none"/>
        <vertAlign val="baseline"/>
        <sz val="11"/>
        <color theme="1"/>
        <name val="Aptos Narrow"/>
        <family val="2"/>
        <scheme val="minor"/>
      </font>
      <numFmt numFmtId="169" formatCode="_(&quot;$&quot;* #,##0_);_(&quot;$&quot;* \(#,##0\);_(&quot;$&quot;*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numFmt numFmtId="174" formatCode="_(&quot;$&quot;* #,##0.0_);_(&quot;$&quot;* \(#,##0.0\);_(&quot;$&quot;* &quot;-&quot;??_);_(@_)"/>
      <border diagonalUp="0" diagonalDown="0" outline="0">
        <left style="thin">
          <color indexed="64"/>
        </left>
        <right style="thin">
          <color indexed="64"/>
        </right>
        <top style="thin">
          <color indexed="64"/>
        </top>
        <bottom/>
      </border>
    </dxf>
    <dxf>
      <numFmt numFmtId="167" formatCode="_(* #,##0_);_(* \(#,##0\);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numFmt numFmtId="167" formatCode="_(* #,##0_);_(* \(#,##0\);_(* &quot;-&quot;??_);_(@_)"/>
      <border diagonalUp="0" diagonalDown="0" outline="0">
        <left style="thin">
          <color indexed="64"/>
        </left>
        <right style="thin">
          <color indexed="64"/>
        </right>
        <top style="thin">
          <color indexed="64"/>
        </top>
        <bottom/>
      </border>
    </dxf>
    <dxf>
      <numFmt numFmtId="167" formatCode="_(* #,##0_);_(* \(#,##0\);_(* &quot;-&quot;??_);_(@_)"/>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ptos Narrow"/>
        <family val="2"/>
        <scheme val="minor"/>
      </font>
      <numFmt numFmtId="167" formatCode="_(* #,##0_);_(* \(#,##0\);_(* &quot;-&quot;??_);_(@_)"/>
      <border diagonalUp="0" diagonalDown="0" outline="0">
        <left style="thin">
          <color indexed="64"/>
        </left>
        <right style="thin">
          <color indexed="64"/>
        </right>
        <top style="thin">
          <color indexed="64"/>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ptos Narrow"/>
        <family val="2"/>
        <scheme val="minor"/>
      </font>
      <numFmt numFmtId="167" formatCode="_(* #,##0_);_(* \(#,##0\);_(* &quot;-&quot;??_);_(@_)"/>
      <border diagonalUp="0" diagonalDown="0" outline="0">
        <left style="thin">
          <color indexed="64"/>
        </left>
        <right style="thin">
          <color indexed="64"/>
        </right>
        <top style="thin">
          <color indexed="64"/>
        </top>
        <bottom/>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outline="0">
        <left style="thin">
          <color indexed="64"/>
        </left>
        <right style="thin">
          <color indexed="64"/>
        </right>
        <top style="thin">
          <color indexed="64"/>
        </top>
        <bottom/>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outline="0">
        <left style="thin">
          <color indexed="64"/>
        </left>
        <right style="thin">
          <color indexed="64"/>
        </right>
        <top style="thin">
          <color indexed="64"/>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ptos Narrow"/>
        <family val="2"/>
        <scheme val="minor"/>
      </font>
      <numFmt numFmtId="167" formatCode="_(* #,##0_);_(* \(#,##0\);_(* &quot;-&quot;??_);_(@_)"/>
      <border diagonalUp="0" diagonalDown="0" outline="0">
        <left style="thin">
          <color indexed="64"/>
        </left>
        <right style="thin">
          <color indexed="64"/>
        </right>
        <top style="thin">
          <color indexed="64"/>
        </top>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border>
    </dxf>
    <dxf>
      <numFmt numFmtId="1" formatCode="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numFmt numFmtId="167" formatCode="_(* #,##0_);_(* \(#,##0\);_(* &quot;-&quot;??_);_(@_)"/>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ptos Narrow"/>
        <family val="2"/>
        <scheme val="minor"/>
      </font>
      <numFmt numFmtId="167" formatCode="_(* #,##0_);_(* \(#,##0\);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numFmt numFmtId="167" formatCode="_(* #,##0_);_(* \(#,##0\);_(* &quot;-&quot;??_);_(@_)"/>
      <border diagonalUp="0" diagonalDown="0" outline="0">
        <left style="thin">
          <color indexed="64"/>
        </left>
        <right style="thin">
          <color indexed="64"/>
        </right>
        <top style="thin">
          <color indexed="64"/>
        </top>
        <bottom/>
      </border>
    </dxf>
    <dxf>
      <numFmt numFmtId="167" formatCode="_(* #,##0_);_(* \(#,##0\);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numFmt numFmtId="167" formatCode="_(* #,##0_);_(* \(#,##0\);_(* &quot;-&quot;??_);_(@_)"/>
      <border diagonalUp="0" diagonalDown="0" outline="0">
        <left style="thin">
          <color indexed="64"/>
        </left>
        <right style="thin">
          <color indexed="64"/>
        </right>
        <top style="thin">
          <color indexed="64"/>
        </top>
        <bottom/>
      </border>
    </dxf>
    <dxf>
      <numFmt numFmtId="2" formatCode="0.00"/>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numFmt numFmtId="172" formatCode="0.0%"/>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numFmt numFmtId="0" formatCode="Genera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ptos Narrow"/>
        <family val="2"/>
        <scheme val="minor"/>
      </font>
      <numFmt numFmtId="167" formatCode="_(* #,##0_);_(* \(#,##0\);_(* &quot;-&quot;??_);_(@_)"/>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ptos Narrow"/>
        <family val="2"/>
        <scheme val="minor"/>
      </font>
      <numFmt numFmtId="167" formatCode="_(* #,##0_);_(* \(#,##0\);_(* &quot;-&quot;??_);_(@_)"/>
      <border diagonalUp="0" diagonalDown="0" outline="0">
        <left style="thin">
          <color indexed="64"/>
        </left>
        <right style="thin">
          <color indexed="64"/>
        </right>
        <top style="thin">
          <color indexed="64"/>
        </top>
        <bottom/>
      </border>
    </dxf>
    <dxf>
      <numFmt numFmtId="167" formatCode="_(* #,##0_);_(* \(#,##0\);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numFmt numFmtId="167" formatCode="_(* #,##0_);_(* \(#,##0\);_(* &quot;-&quot;??_);_(@_)"/>
      <border diagonalUp="0" diagonalDown="0" outline="0">
        <left style="thin">
          <color indexed="64"/>
        </left>
        <right style="thin">
          <color indexed="64"/>
        </right>
        <top style="thin">
          <color indexed="64"/>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outline="0">
        <left style="thin">
          <color indexed="64"/>
        </left>
        <right style="thin">
          <color indexed="64"/>
        </right>
        <top style="thin">
          <color indexed="64"/>
        </top>
        <bottom/>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outline="0">
        <left style="thin">
          <color indexed="64"/>
        </left>
        <right style="thin">
          <color indexed="64"/>
        </right>
        <top style="thin">
          <color indexed="64"/>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outline="0">
        <left style="thin">
          <color indexed="64"/>
        </left>
        <right style="thin">
          <color indexed="64"/>
        </right>
        <top style="thin">
          <color indexed="64"/>
        </top>
        <bottom/>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diagonalUp="0" diagonalDown="0" outline="0">
        <left/>
        <right style="thin">
          <color indexed="64"/>
        </right>
        <top style="thin">
          <color indexed="64"/>
        </top>
        <bottom/>
      </border>
    </dxf>
    <dxf>
      <border>
        <bottom style="thin">
          <color indexed="64"/>
        </bottom>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alignment horizontal="left" vertical="bottom"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font>
    </dxf>
    <dxf>
      <font>
        <b/>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[NBA Expansion Case Study.xlsm]PivotTable - WCS!PivotTable_WCS</c:name>
    <c:fmtId val="3"/>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a:solidFill>
                  <a:schemeClr val="lt1"/>
                </a:solidFill>
                <a:latin typeface="+mn-lt"/>
                <a:ea typeface="+mn-ea"/>
                <a:cs typeface="+mn-cs"/>
              </a:rPr>
              <a:t>Weighted Criteria Scores</a:t>
            </a:r>
            <a:endParaRPr lang="en-US"/>
          </a:p>
        </c:rich>
      </c:tx>
      <c:overlay val="0"/>
      <c:spPr>
        <a:solidFill>
          <a:schemeClr val="accent1"/>
        </a:solidFill>
        <a:ln w="25400" cap="flat" cmpd="sng" algn="ctr">
          <a:solidFill>
            <a:schemeClr val="accent1"/>
          </a:solidFill>
          <a:prstDash val="solid"/>
          <a:miter lim="800000"/>
        </a:ln>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 - WCS'!$B$3</c:f>
              <c:strCache>
                <c:ptCount val="1"/>
                <c:pt idx="0">
                  <c:v>Total</c:v>
                </c:pt>
              </c:strCache>
            </c:strRef>
          </c:tx>
          <c:spPr>
            <a:solidFill>
              <a:schemeClr val="accent1"/>
            </a:solidFill>
            <a:ln>
              <a:noFill/>
            </a:ln>
            <a:effectLst/>
          </c:spPr>
          <c:invertIfNegative val="0"/>
          <c:cat>
            <c:multiLvlStrRef>
              <c:f>'PivotTable - WCS'!$A$4:$A$25</c:f>
              <c:multiLvlStrCache>
                <c:ptCount val="16"/>
                <c:lvl>
                  <c:pt idx="0">
                    <c:v>Virginia Beach–Chesapeake–Norfolk</c:v>
                  </c:pt>
                  <c:pt idx="1">
                    <c:v>Cincinnati</c:v>
                  </c:pt>
                  <c:pt idx="2">
                    <c:v>Columbus</c:v>
                  </c:pt>
                  <c:pt idx="3">
                    <c:v>Pittsburgh</c:v>
                  </c:pt>
                  <c:pt idx="4">
                    <c:v>Kansas City</c:v>
                  </c:pt>
                  <c:pt idx="5">
                    <c:v>Louisville</c:v>
                  </c:pt>
                  <c:pt idx="6">
                    <c:v>Omaha</c:v>
                  </c:pt>
                  <c:pt idx="7">
                    <c:v>St. Louis</c:v>
                  </c:pt>
                  <c:pt idx="8">
                    <c:v>Albuquerque-Santa Fe</c:v>
                  </c:pt>
                  <c:pt idx="9">
                    <c:v>Las Vegas</c:v>
                  </c:pt>
                  <c:pt idx="10">
                    <c:v>San Diego</c:v>
                  </c:pt>
                  <c:pt idx="11">
                    <c:v>Seattle</c:v>
                  </c:pt>
                  <c:pt idx="12">
                    <c:v>Austin</c:v>
                  </c:pt>
                  <c:pt idx="13">
                    <c:v>Jacksonville</c:v>
                  </c:pt>
                  <c:pt idx="14">
                    <c:v>Nashville</c:v>
                  </c:pt>
                  <c:pt idx="15">
                    <c:v>Tampa</c:v>
                  </c:pt>
                </c:lvl>
                <c:lvl>
                  <c:pt idx="0">
                    <c:v>Atlantic</c:v>
                  </c:pt>
                  <c:pt idx="1">
                    <c:v>Great Lakes</c:v>
                  </c:pt>
                  <c:pt idx="4">
                    <c:v>Midwest</c:v>
                  </c:pt>
                  <c:pt idx="8">
                    <c:v>Pacific</c:v>
                  </c:pt>
                  <c:pt idx="12">
                    <c:v>Southern</c:v>
                  </c:pt>
                </c:lvl>
              </c:multiLvlStrCache>
            </c:multiLvlStrRef>
          </c:cat>
          <c:val>
            <c:numRef>
              <c:f>'PivotTable - WCS'!$B$4:$B$25</c:f>
              <c:numCache>
                <c:formatCode>0</c:formatCode>
                <c:ptCount val="16"/>
                <c:pt idx="0">
                  <c:v>26.320856107139885</c:v>
                </c:pt>
                <c:pt idx="1">
                  <c:v>44.171930051461381</c:v>
                </c:pt>
                <c:pt idx="2">
                  <c:v>46.827758137048022</c:v>
                </c:pt>
                <c:pt idx="3">
                  <c:v>39.425848433174444</c:v>
                </c:pt>
                <c:pt idx="4">
                  <c:v>38.520791429120251</c:v>
                </c:pt>
                <c:pt idx="5">
                  <c:v>30.663092284060067</c:v>
                </c:pt>
                <c:pt idx="6">
                  <c:v>30.708433285404098</c:v>
                </c:pt>
                <c:pt idx="7">
                  <c:v>47.268704522301235</c:v>
                </c:pt>
                <c:pt idx="8">
                  <c:v>13.070820822490548</c:v>
                </c:pt>
                <c:pt idx="9">
                  <c:v>50.414735572110104</c:v>
                </c:pt>
                <c:pt idx="10">
                  <c:v>45.613278686578958</c:v>
                </c:pt>
                <c:pt idx="11">
                  <c:v>78.902786064022393</c:v>
                </c:pt>
                <c:pt idx="12">
                  <c:v>55.859243192649664</c:v>
                </c:pt>
                <c:pt idx="13">
                  <c:v>33.602811889718019</c:v>
                </c:pt>
                <c:pt idx="14">
                  <c:v>53.853529361947352</c:v>
                </c:pt>
                <c:pt idx="15">
                  <c:v>55.382577175388022</c:v>
                </c:pt>
              </c:numCache>
            </c:numRef>
          </c:val>
          <c:extLst>
            <c:ext xmlns:c16="http://schemas.microsoft.com/office/drawing/2014/chart" uri="{C3380CC4-5D6E-409C-BE32-E72D297353CC}">
              <c16:uniqueId val="{00000000-A291-4F0D-B6DF-8A761BC78D76}"/>
            </c:ext>
          </c:extLst>
        </c:ser>
        <c:dLbls>
          <c:showLegendKey val="0"/>
          <c:showVal val="0"/>
          <c:showCatName val="0"/>
          <c:showSerName val="0"/>
          <c:showPercent val="0"/>
          <c:showBubbleSize val="0"/>
        </c:dLbls>
        <c:gapWidth val="182"/>
        <c:axId val="1284233727"/>
        <c:axId val="1284228447"/>
      </c:barChart>
      <c:catAx>
        <c:axId val="12842337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4228447"/>
        <c:crosses val="autoZero"/>
        <c:auto val="1"/>
        <c:lblAlgn val="ctr"/>
        <c:lblOffset val="100"/>
        <c:noMultiLvlLbl val="0"/>
      </c:catAx>
      <c:valAx>
        <c:axId val="1284228447"/>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42337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971550</xdr:colOff>
      <xdr:row>2</xdr:row>
      <xdr:rowOff>16191</xdr:rowOff>
    </xdr:from>
    <xdr:to>
      <xdr:col>8</xdr:col>
      <xdr:colOff>0</xdr:colOff>
      <xdr:row>22</xdr:row>
      <xdr:rowOff>171450</xdr:rowOff>
    </xdr:to>
    <xdr:graphicFrame macro="">
      <xdr:nvGraphicFramePr>
        <xdr:cNvPr id="4" name="Chart 3">
          <a:extLst>
            <a:ext uri="{FF2B5EF4-FFF2-40B4-BE49-F238E27FC236}">
              <a16:creationId xmlns:a16="http://schemas.microsoft.com/office/drawing/2014/main" id="{4A670831-3FDD-3DEB-2F5B-C23B7CDD00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312420</xdr:colOff>
      <xdr:row>2</xdr:row>
      <xdr:rowOff>19050</xdr:rowOff>
    </xdr:from>
    <xdr:to>
      <xdr:col>6</xdr:col>
      <xdr:colOff>306705</xdr:colOff>
      <xdr:row>16</xdr:row>
      <xdr:rowOff>76200</xdr:rowOff>
    </xdr:to>
    <mc:AlternateContent xmlns:mc="http://schemas.openxmlformats.org/markup-compatibility/2006" xmlns:a14="http://schemas.microsoft.com/office/drawing/2010/main">
      <mc:Choice Requires="a14">
        <xdr:graphicFrame macro="">
          <xdr:nvGraphicFramePr>
            <xdr:cNvPr id="2" name="Region">
              <a:extLst>
                <a:ext uri="{FF2B5EF4-FFF2-40B4-BE49-F238E27FC236}">
                  <a16:creationId xmlns:a16="http://schemas.microsoft.com/office/drawing/2014/main" id="{00231BA4-4CF2-3B2F-7F53-2DD285C2DED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324725" y="377190"/>
              <a:ext cx="1821180" cy="25946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uel Kelly" refreshedDate="45859.310421875001" createdVersion="8" refreshedVersion="8" minRefreshableVersion="3" recordCount="16" xr:uid="{ED5F215F-1E9B-494F-8D59-2FD63CBD53EB}">
  <cacheSource type="worksheet">
    <worksheetSource name="Expansion_Cities_Data"/>
  </cacheSource>
  <cacheFields count="20">
    <cacheField name="City ID" numFmtId="0">
      <sharedItems/>
    </cacheField>
    <cacheField name="City Name" numFmtId="0">
      <sharedItems count="16">
        <s v="Albuquerque-Santa Fe"/>
        <s v="Austin"/>
        <s v="Cincinnati"/>
        <s v="Columbus"/>
        <s v="Jacksonville"/>
        <s v="Kansas City"/>
        <s v="Las Vegas"/>
        <s v="Louisville"/>
        <s v="Nashville"/>
        <s v="Omaha"/>
        <s v="Pittsburgh"/>
        <s v="San Diego"/>
        <s v="Seattle"/>
        <s v="St. Louis"/>
        <s v="Tampa"/>
        <s v="Virginia Beach–Chesapeake–Norfolk"/>
      </sharedItems>
    </cacheField>
    <cacheField name="Region Key" numFmtId="0">
      <sharedItems containsSemiMixedTypes="0" containsString="0" containsNumber="1" containsInteger="1" minValue="1" maxValue="5" count="5">
        <n v="4"/>
        <n v="5"/>
        <n v="2"/>
        <n v="3"/>
        <n v="1"/>
      </sharedItems>
    </cacheField>
    <cacheField name="Region" numFmtId="0">
      <sharedItems count="5">
        <s v="Pacific"/>
        <s v="Southern"/>
        <s v="Great Lakes"/>
        <s v="Midwest"/>
        <s v="Atlantic"/>
      </sharedItems>
    </cacheField>
    <cacheField name="Metro Population (2024)" numFmtId="167">
      <sharedItems containsSemiMixedTypes="0" containsString="0" containsNumber="1" containsInteger="1" minValue="1001010" maxValue="4145494"/>
    </cacheField>
    <cacheField name="Population Growth (% change since 2020)" numFmtId="2">
      <sharedItems containsSemiMixedTypes="0" containsString="0" containsNumber="1" minValue="-1.1000000000000001" maxValue="11.7" count="16">
        <n v="1.07"/>
        <n v="11.7"/>
        <n v="2.36"/>
        <n v="4.04"/>
        <n v="9.6300000000000008"/>
        <n v="2.81"/>
        <n v="5.89"/>
        <n v="2.35"/>
        <n v="6.76"/>
        <n v="3.45"/>
        <n v="-1.1000000000000001"/>
        <n v="0.01"/>
        <n v="3.15"/>
        <n v="-0.3"/>
        <n v="7.85"/>
        <n v="0.8"/>
      </sharedItems>
    </cacheField>
    <cacheField name="Demographic Data (15 - 44 Age Group as % of Total Population)" numFmtId="2">
      <sharedItems containsSemiMixedTypes="0" containsString="0" containsNumber="1" minValue="37.1" maxValue="46.9"/>
    </cacheField>
    <cacheField name="Per Capita Personal Income (2023)" numFmtId="167">
      <sharedItems containsSemiMixedTypes="0" containsString="0" containsNumber="1" containsInteger="1" minValue="57278" maxValue="99339"/>
    </cacheField>
    <cacheField name="Personal Income Rank within the USA" numFmtId="167">
      <sharedItems containsSemiMixedTypes="0" containsString="0" containsNumber="1" minValue="9" maxValue="216.75"/>
    </cacheField>
    <cacheField name="Nielsen TV Market Rank" numFmtId="1">
      <sharedItems containsSemiMixedTypes="0" containsString="0" containsNumber="1" containsInteger="1" minValue="12" maxValue="74"/>
    </cacheField>
    <cacheField name="NBA Google Analytic Trend Score (0-100)" numFmtId="0">
      <sharedItems containsSemiMixedTypes="0" containsString="0" containsNumber="1" containsInteger="1" minValue="35" maxValue="70"/>
    </cacheField>
    <cacheField name="NBA Teams within Fan Base Catchment Area (200kms)" numFmtId="0">
      <sharedItems/>
    </cacheField>
    <cacheField name="Exsisiting Major Sports Teams" numFmtId="0">
      <sharedItems containsSemiMixedTypes="0" containsString="0" containsNumber="1" containsInteger="1" minValue="0" maxValue="3"/>
    </cacheField>
    <cacheField name="NBA Ready Arena?" numFmtId="0">
      <sharedItems/>
    </cacheField>
    <cacheField name="Arena Name" numFmtId="0">
      <sharedItems/>
    </cacheField>
    <cacheField name="Arena Capacity " numFmtId="167">
      <sharedItems containsSemiMixedTypes="0" containsString="0" containsNumber="1" containsInteger="1" minValue="8265" maxValue="23084"/>
    </cacheField>
    <cacheField name="Fortune 500 HQ's" numFmtId="0">
      <sharedItems containsSemiMixedTypes="0" containsString="0" containsNumber="1" containsInteger="1" minValue="0" maxValue="11"/>
    </cacheField>
    <cacheField name="Projected Franchise Valuation" numFmtId="169">
      <sharedItems containsSemiMixedTypes="0" containsString="0" containsNumber="1" minValue="3261416416.449811" maxValue="4578055721.280448" count="16">
        <n v="3261416416.449811"/>
        <n v="4117184863.852993"/>
        <n v="3883438601.0292277"/>
        <n v="3936555162.7409601"/>
        <n v="3672056237.7943602"/>
        <n v="3770415828.5824051"/>
        <n v="4008294711.4422021"/>
        <n v="3613261845.6812015"/>
        <n v="4077070587.2389469"/>
        <n v="3614168665.7080822"/>
        <n v="3788516968.6634889"/>
        <n v="3912265573.7315793"/>
        <n v="4578055721.280448"/>
        <n v="3945374090.4460249"/>
        <n v="4107651543.5077605"/>
        <n v="3526417122.1427975"/>
      </sharedItems>
    </cacheField>
    <cacheField name="Expansion Weighted Criteria Score" numFmtId="1">
      <sharedItems containsSemiMixedTypes="0" containsString="0" containsNumber="1" minValue="13.070820822490548" maxValue="78.902786064022393"/>
    </cacheField>
    <cacheField name="All Cities Weighted Criteria Score" numFmtId="1">
      <sharedItems containsSemiMixedTypes="0" containsString="0" containsNumber="1" minValue="13.39402609846071" maxValue="47.120737165137548"/>
    </cacheField>
  </cacheFields>
  <extLst>
    <ext xmlns:x14="http://schemas.microsoft.com/office/spreadsheetml/2009/9/main" uri="{725AE2AE-9491-48be-B2B4-4EB974FC3084}">
      <x14:pivotCacheDefinition pivotCacheId="7850337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
  <r>
    <s v="ALQ"/>
    <x v="0"/>
    <x v="0"/>
    <x v="0"/>
    <n v="1091764"/>
    <x v="0"/>
    <n v="40.1"/>
    <n v="57278"/>
    <n v="216.75"/>
    <n v="49"/>
    <n v="45"/>
    <s v="No"/>
    <n v="0"/>
    <s v="No"/>
    <s v="Tingley Coliseum"/>
    <n v="11571"/>
    <n v="0"/>
    <x v="0"/>
    <n v="13.070820822490548"/>
    <n v="13.39402609846071"/>
  </r>
  <r>
    <s v="AUS"/>
    <x v="1"/>
    <x v="1"/>
    <x v="1"/>
    <n v="2550637"/>
    <x v="1"/>
    <n v="46.9"/>
    <n v="80471"/>
    <n v="25"/>
    <n v="35"/>
    <n v="48"/>
    <s v="Yes"/>
    <n v="0"/>
    <s v="No"/>
    <s v="Luedecke Arena"/>
    <n v="8265"/>
    <n v="3"/>
    <x v="1"/>
    <n v="55.859243192649664"/>
    <n v="39.618399391856414"/>
  </r>
  <r>
    <s v="CIN"/>
    <x v="2"/>
    <x v="2"/>
    <x v="2"/>
    <n v="2302815"/>
    <x v="2"/>
    <n v="39.5"/>
    <n v="68560"/>
    <n v="79"/>
    <n v="38"/>
    <n v="43"/>
    <s v="Yes"/>
    <n v="2"/>
    <s v="Yes"/>
    <s v="Heritage Bank Center"/>
    <n v="17000"/>
    <n v="8"/>
    <x v="2"/>
    <n v="44.171930051461381"/>
    <n v="29.829884461578608"/>
  </r>
  <r>
    <s v="COL"/>
    <x v="3"/>
    <x v="2"/>
    <x v="2"/>
    <n v="2225377"/>
    <x v="3"/>
    <n v="42.2"/>
    <n v="65277"/>
    <n v="106"/>
    <n v="36"/>
    <n v="50"/>
    <s v="No"/>
    <n v="1"/>
    <s v="Yes"/>
    <s v="Nationwide Arena"/>
    <n v="19500"/>
    <n v="5"/>
    <x v="3"/>
    <n v="46.827758137048022"/>
    <n v="34.608954956369523"/>
  </r>
  <r>
    <s v="JAX"/>
    <x v="4"/>
    <x v="1"/>
    <x v="1"/>
    <n v="1760548"/>
    <x v="4"/>
    <n v="39.299999999999997"/>
    <n v="65324"/>
    <n v="105"/>
    <n v="42"/>
    <n v="43"/>
    <s v="No"/>
    <n v="1"/>
    <s v="No"/>
    <s v="VyStar Veterans Memorial Arena"/>
    <n v="14091"/>
    <n v="4"/>
    <x v="4"/>
    <n v="33.602811889718019"/>
    <n v="24.20490265291987"/>
  </r>
  <r>
    <s v="KC"/>
    <x v="5"/>
    <x v="3"/>
    <x v="3"/>
    <n v="2253579"/>
    <x v="5"/>
    <n v="40.299999999999997"/>
    <n v="69865"/>
    <n v="70"/>
    <n v="34"/>
    <n v="38"/>
    <s v="No"/>
    <n v="2"/>
    <s v="Yes"/>
    <s v="T-Mobile Center"/>
    <n v="18972"/>
    <n v="1"/>
    <x v="5"/>
    <n v="38.520791429120251"/>
    <n v="29.921167954996335"/>
  </r>
  <r>
    <s v="LV"/>
    <x v="6"/>
    <x v="0"/>
    <x v="0"/>
    <n v="2398871"/>
    <x v="6"/>
    <n v="40.9"/>
    <n v="63767"/>
    <n v="122"/>
    <n v="41"/>
    <n v="70"/>
    <s v="No"/>
    <n v="3"/>
    <s v="Yes"/>
    <s v="T-Mobile Arena"/>
    <n v="18800"/>
    <n v="2"/>
    <x v="6"/>
    <n v="50.414735572110104"/>
    <n v="37.588591779737264"/>
  </r>
  <r>
    <s v="LOU"/>
    <x v="7"/>
    <x v="3"/>
    <x v="3"/>
    <n v="1394234"/>
    <x v="7"/>
    <n v="38.9"/>
    <n v="65205"/>
    <n v="108"/>
    <n v="50"/>
    <n v="45"/>
    <s v="Yes"/>
    <n v="0"/>
    <s v="Yes"/>
    <s v="KFC Yum! Center"/>
    <n v="23084"/>
    <n v="3"/>
    <x v="7"/>
    <n v="30.663092284060067"/>
    <n v="25.604355560927019"/>
  </r>
  <r>
    <s v="NSH"/>
    <x v="8"/>
    <x v="1"/>
    <x v="1"/>
    <n v="2150553"/>
    <x v="8"/>
    <n v="42.8"/>
    <n v="79453"/>
    <n v="28"/>
    <n v="27"/>
    <n v="37"/>
    <s v="No"/>
    <n v="2"/>
    <s v="Yes"/>
    <s v="Bridgestone Arena"/>
    <n v="18500"/>
    <n v="6"/>
    <x v="8"/>
    <n v="53.853529361947352"/>
    <n v="39.543408091085759"/>
  </r>
  <r>
    <s v="OMH"/>
    <x v="9"/>
    <x v="3"/>
    <x v="3"/>
    <n v="1001010"/>
    <x v="9"/>
    <n v="41"/>
    <n v="75033"/>
    <n v="45"/>
    <n v="74"/>
    <n v="40"/>
    <s v="No"/>
    <n v="0"/>
    <s v="Yes"/>
    <s v="CHI Health Center Omaha"/>
    <n v="18320"/>
    <n v="4"/>
    <x v="9"/>
    <n v="30.708433285404098"/>
    <n v="26.293863322331468"/>
  </r>
  <r>
    <s v="PIT"/>
    <x v="10"/>
    <x v="2"/>
    <x v="2"/>
    <n v="2429917"/>
    <x v="10"/>
    <n v="37.1"/>
    <n v="70559"/>
    <n v="63"/>
    <n v="28"/>
    <n v="35"/>
    <s v="No"/>
    <n v="3"/>
    <s v="Yes"/>
    <s v="PPG Paints Arena"/>
    <n v="19100"/>
    <n v="9"/>
    <x v="10"/>
    <n v="39.425848433174444"/>
    <n v="24.631364219790271"/>
  </r>
  <r>
    <s v="SD"/>
    <x v="11"/>
    <x v="0"/>
    <x v="0"/>
    <n v="3298799"/>
    <x v="11"/>
    <n v="43.5"/>
    <n v="79122"/>
    <n v="29"/>
    <n v="31"/>
    <n v="55"/>
    <s v="Yes"/>
    <n v="1"/>
    <s v="No"/>
    <s v="Pechanga Arena"/>
    <n v="14500"/>
    <n v="3"/>
    <x v="11"/>
    <n v="45.613278686578958"/>
    <n v="27.411628110847399"/>
  </r>
  <r>
    <s v="SEA"/>
    <x v="12"/>
    <x v="0"/>
    <x v="0"/>
    <n v="4145494"/>
    <x v="12"/>
    <n v="44.2"/>
    <n v="99339"/>
    <n v="9"/>
    <n v="14"/>
    <n v="42"/>
    <s v="No"/>
    <n v="3"/>
    <s v="Yes"/>
    <s v="Climate Pledge Arena"/>
    <n v="18600"/>
    <n v="11"/>
    <x v="12"/>
    <n v="78.902786064022393"/>
    <n v="47.120737165137548"/>
  </r>
  <r>
    <s v="STL"/>
    <x v="13"/>
    <x v="3"/>
    <x v="3"/>
    <n v="2811927"/>
    <x v="13"/>
    <n v="38.799999999999997"/>
    <n v="75577"/>
    <n v="42"/>
    <n v="25"/>
    <n v="43"/>
    <s v="No"/>
    <n v="2"/>
    <s v="Yes"/>
    <s v="Enterprise Center"/>
    <n v="21000"/>
    <n v="7"/>
    <x v="13"/>
    <n v="47.268704522301235"/>
    <n v="30.197028407888251"/>
  </r>
  <r>
    <s v="TPA"/>
    <x v="14"/>
    <x v="1"/>
    <x v="1"/>
    <n v="3424560"/>
    <x v="14"/>
    <n v="37.700000000000003"/>
    <n v="63789"/>
    <n v="121"/>
    <n v="12"/>
    <n v="42"/>
    <s v="Yes"/>
    <n v="3"/>
    <s v="Yes"/>
    <s v="Amalie Arena"/>
    <n v="20500"/>
    <n v="5"/>
    <x v="14"/>
    <n v="55.382577175388022"/>
    <n v="36.379477823907521"/>
  </r>
  <r>
    <s v="VGB"/>
    <x v="15"/>
    <x v="4"/>
    <x v="4"/>
    <n v="1794278"/>
    <x v="15"/>
    <n v="41.9"/>
    <n v="62575"/>
    <n v="132"/>
    <n v="45"/>
    <n v="52"/>
    <s v="No"/>
    <n v="0"/>
    <s v="No"/>
    <s v="Norfolk Scope"/>
    <n v="10253"/>
    <n v="3"/>
    <x v="15"/>
    <n v="26.320856107139885"/>
    <n v="19.0815375048680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A8354D9-47D8-4A35-A29C-BC89D1F4124A}" name="PivotTable_WCS" cacheId="2900" applyNumberFormats="0" applyBorderFormats="0" applyFontFormats="0" applyPatternFormats="0" applyAlignmentFormats="0" applyWidthHeightFormats="1" dataCaption="Values" grandTotalCaption="Average Weighted Criteria Score" updatedVersion="8" minRefreshableVersion="3" useAutoFormatting="1" itemPrintTitles="1" createdVersion="8" indent="0" outline="1" outlineData="1" multipleFieldFilters="0" chartFormat="9" rowHeaderCaption="Expansion Cities">
  <location ref="A3:B25" firstHeaderRow="1" firstDataRow="1" firstDataCol="1"/>
  <pivotFields count="20">
    <pivotField showAll="0"/>
    <pivotField axis="axisRow" showAll="0">
      <items count="17">
        <item x="0"/>
        <item x="1"/>
        <item x="2"/>
        <item x="3"/>
        <item x="4"/>
        <item x="5"/>
        <item x="6"/>
        <item x="7"/>
        <item x="8"/>
        <item x="9"/>
        <item x="10"/>
        <item x="11"/>
        <item x="12"/>
        <item x="13"/>
        <item x="14"/>
        <item x="15"/>
        <item t="default"/>
      </items>
    </pivotField>
    <pivotField showAll="0">
      <items count="6">
        <item x="4"/>
        <item x="2"/>
        <item x="3"/>
        <item x="0"/>
        <item x="1"/>
        <item t="default"/>
      </items>
    </pivotField>
    <pivotField axis="axisRow" showAll="0">
      <items count="6">
        <item x="4"/>
        <item x="2"/>
        <item x="3"/>
        <item x="0"/>
        <item x="1"/>
        <item t="default"/>
      </items>
    </pivotField>
    <pivotField numFmtId="167" showAll="0"/>
    <pivotField numFmtId="2" showAll="0"/>
    <pivotField numFmtId="2" showAll="0"/>
    <pivotField numFmtId="167" showAll="0"/>
    <pivotField numFmtId="167" showAll="0"/>
    <pivotField numFmtId="1" showAll="0"/>
    <pivotField showAll="0"/>
    <pivotField showAll="0"/>
    <pivotField showAll="0"/>
    <pivotField showAll="0"/>
    <pivotField showAll="0"/>
    <pivotField numFmtId="167" showAll="0"/>
    <pivotField showAll="0"/>
    <pivotField numFmtId="169" showAll="0">
      <items count="17">
        <item x="0"/>
        <item x="15"/>
        <item x="7"/>
        <item x="9"/>
        <item x="4"/>
        <item x="5"/>
        <item x="10"/>
        <item x="2"/>
        <item x="11"/>
        <item x="3"/>
        <item x="13"/>
        <item x="6"/>
        <item x="8"/>
        <item x="14"/>
        <item x="1"/>
        <item x="12"/>
        <item t="default"/>
      </items>
    </pivotField>
    <pivotField dataField="1" numFmtId="1" showAll="0"/>
    <pivotField numFmtId="1" showAll="0"/>
  </pivotFields>
  <rowFields count="2">
    <field x="3"/>
    <field x="1"/>
  </rowFields>
  <rowItems count="22">
    <i>
      <x/>
    </i>
    <i r="1">
      <x v="15"/>
    </i>
    <i>
      <x v="1"/>
    </i>
    <i r="1">
      <x v="2"/>
    </i>
    <i r="1">
      <x v="3"/>
    </i>
    <i r="1">
      <x v="10"/>
    </i>
    <i>
      <x v="2"/>
    </i>
    <i r="1">
      <x v="5"/>
    </i>
    <i r="1">
      <x v="7"/>
    </i>
    <i r="1">
      <x v="9"/>
    </i>
    <i r="1">
      <x v="13"/>
    </i>
    <i>
      <x v="3"/>
    </i>
    <i r="1">
      <x/>
    </i>
    <i r="1">
      <x v="6"/>
    </i>
    <i r="1">
      <x v="11"/>
    </i>
    <i r="1">
      <x v="12"/>
    </i>
    <i>
      <x v="4"/>
    </i>
    <i r="1">
      <x v="1"/>
    </i>
    <i r="1">
      <x v="4"/>
    </i>
    <i r="1">
      <x v="8"/>
    </i>
    <i r="1">
      <x v="14"/>
    </i>
    <i t="grand">
      <x/>
    </i>
  </rowItems>
  <colItems count="1">
    <i/>
  </colItems>
  <dataFields count="1">
    <dataField name="Weighted Criteria Scores" fld="18" subtotal="average" baseField="3" baseItem="0" numFmtId="1"/>
  </dataFields>
  <formats count="2">
    <format dxfId="287">
      <pivotArea collapsedLevelsAreSubtotals="1" fieldPosition="0">
        <references count="1">
          <reference field="1" count="0"/>
        </references>
      </pivotArea>
    </format>
    <format dxfId="288">
      <pivotArea dataOnly="0" labelOnly="1" fieldPosition="0">
        <references count="1">
          <reference field="1" count="0"/>
        </references>
      </pivotArea>
    </format>
  </formats>
  <chartFormats count="1">
    <chartFormat chart="3"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0C59C51-698A-4B90-93D1-0415EF1B8D74}" name="PivotTable_Popultion" cacheId="2900" applyNumberFormats="0" applyBorderFormats="0" applyFontFormats="0" applyPatternFormats="0" applyAlignmentFormats="0" applyWidthHeightFormats="1" dataCaption="Values" grandTotalCaption="Averages" updatedVersion="8" minRefreshableVersion="3" useAutoFormatting="1" itemPrintTitles="1" createdVersion="8" indent="0" outline="1" outlineData="1" multipleFieldFilters="0">
  <location ref="A3:C25" firstHeaderRow="0" firstDataRow="1" firstDataCol="1"/>
  <pivotFields count="20">
    <pivotField showAll="0"/>
    <pivotField axis="axisRow" showAll="0">
      <items count="17">
        <item x="0"/>
        <item x="1"/>
        <item x="2"/>
        <item x="3"/>
        <item x="4"/>
        <item x="5"/>
        <item x="6"/>
        <item x="7"/>
        <item x="8"/>
        <item x="9"/>
        <item x="10"/>
        <item x="11"/>
        <item x="12"/>
        <item x="13"/>
        <item x="14"/>
        <item x="15"/>
        <item t="default"/>
      </items>
    </pivotField>
    <pivotField showAll="0">
      <items count="6">
        <item x="4"/>
        <item x="2"/>
        <item x="3"/>
        <item x="0"/>
        <item x="1"/>
        <item t="default"/>
      </items>
    </pivotField>
    <pivotField axis="axisRow" showAll="0">
      <items count="6">
        <item x="4"/>
        <item x="2"/>
        <item x="3"/>
        <item x="0"/>
        <item x="1"/>
        <item t="default"/>
      </items>
    </pivotField>
    <pivotField dataField="1" numFmtId="167" showAll="0"/>
    <pivotField dataField="1" numFmtId="2" showAll="0"/>
    <pivotField numFmtId="2" showAll="0"/>
    <pivotField numFmtId="167" showAll="0"/>
    <pivotField numFmtId="167" showAll="0"/>
    <pivotField numFmtId="1" showAll="0"/>
    <pivotField showAll="0"/>
    <pivotField showAll="0"/>
    <pivotField showAll="0"/>
    <pivotField showAll="0"/>
    <pivotField showAll="0"/>
    <pivotField numFmtId="167" showAll="0"/>
    <pivotField showAll="0"/>
    <pivotField numFmtId="169" showAll="0"/>
    <pivotField numFmtId="1" showAll="0"/>
    <pivotField numFmtId="1" showAll="0"/>
  </pivotFields>
  <rowFields count="2">
    <field x="3"/>
    <field x="1"/>
  </rowFields>
  <rowItems count="22">
    <i>
      <x/>
    </i>
    <i r="1">
      <x v="15"/>
    </i>
    <i>
      <x v="1"/>
    </i>
    <i r="1">
      <x v="2"/>
    </i>
    <i r="1">
      <x v="3"/>
    </i>
    <i r="1">
      <x v="10"/>
    </i>
    <i>
      <x v="2"/>
    </i>
    <i r="1">
      <x v="5"/>
    </i>
    <i r="1">
      <x v="7"/>
    </i>
    <i r="1">
      <x v="9"/>
    </i>
    <i r="1">
      <x v="13"/>
    </i>
    <i>
      <x v="3"/>
    </i>
    <i r="1">
      <x/>
    </i>
    <i r="1">
      <x v="6"/>
    </i>
    <i r="1">
      <x v="11"/>
    </i>
    <i r="1">
      <x v="12"/>
    </i>
    <i>
      <x v="4"/>
    </i>
    <i r="1">
      <x v="1"/>
    </i>
    <i r="1">
      <x v="4"/>
    </i>
    <i r="1">
      <x v="8"/>
    </i>
    <i r="1">
      <x v="14"/>
    </i>
    <i t="grand">
      <x/>
    </i>
  </rowItems>
  <colFields count="1">
    <field x="-2"/>
  </colFields>
  <colItems count="2">
    <i>
      <x/>
    </i>
    <i i="1">
      <x v="1"/>
    </i>
  </colItems>
  <dataFields count="2">
    <dataField name="Metro Area Population (2024)" fld="4" subtotal="average" baseField="3" baseItem="0" numFmtId="167"/>
    <dataField name="Growth of Population (% change since 2020)" fld="5" subtotal="average" baseField="3" baseItem="0" numFmtId="2"/>
  </dataFields>
  <conditionalFormats count="2">
    <conditionalFormat priority="2">
      <pivotAreas count="10">
        <pivotArea type="data" collapsedLevelsAreSubtotals="1" fieldPosition="0">
          <references count="2">
            <reference field="4294967294" count="1" selected="0">
              <x v="1"/>
            </reference>
            <reference field="3" count="1">
              <x v="0"/>
            </reference>
          </references>
        </pivotArea>
        <pivotArea type="data" collapsedLevelsAreSubtotals="1" fieldPosition="0">
          <references count="3">
            <reference field="4294967294" count="1" selected="0">
              <x v="1"/>
            </reference>
            <reference field="1" count="1">
              <x v="15"/>
            </reference>
            <reference field="3" count="1" selected="0">
              <x v="0"/>
            </reference>
          </references>
        </pivotArea>
        <pivotArea type="data" collapsedLevelsAreSubtotals="1" fieldPosition="0">
          <references count="2">
            <reference field="4294967294" count="1" selected="0">
              <x v="1"/>
            </reference>
            <reference field="3" count="1">
              <x v="1"/>
            </reference>
          </references>
        </pivotArea>
        <pivotArea type="data" collapsedLevelsAreSubtotals="1" fieldPosition="0">
          <references count="3">
            <reference field="4294967294" count="1" selected="0">
              <x v="1"/>
            </reference>
            <reference field="1" count="3">
              <x v="2"/>
              <x v="3"/>
              <x v="10"/>
            </reference>
            <reference field="3" count="1" selected="0">
              <x v="1"/>
            </reference>
          </references>
        </pivotArea>
        <pivotArea type="data" collapsedLevelsAreSubtotals="1" fieldPosition="0">
          <references count="2">
            <reference field="4294967294" count="1" selected="0">
              <x v="1"/>
            </reference>
            <reference field="3" count="1">
              <x v="2"/>
            </reference>
          </references>
        </pivotArea>
        <pivotArea type="data" collapsedLevelsAreSubtotals="1" fieldPosition="0">
          <references count="3">
            <reference field="4294967294" count="1" selected="0">
              <x v="1"/>
            </reference>
            <reference field="1" count="4">
              <x v="5"/>
              <x v="7"/>
              <x v="9"/>
              <x v="13"/>
            </reference>
            <reference field="3" count="1" selected="0">
              <x v="2"/>
            </reference>
          </references>
        </pivotArea>
        <pivotArea type="data" collapsedLevelsAreSubtotals="1" fieldPosition="0">
          <references count="2">
            <reference field="4294967294" count="1" selected="0">
              <x v="1"/>
            </reference>
            <reference field="3" count="1">
              <x v="3"/>
            </reference>
          </references>
        </pivotArea>
        <pivotArea type="data" collapsedLevelsAreSubtotals="1" fieldPosition="0">
          <references count="3">
            <reference field="4294967294" count="1" selected="0">
              <x v="1"/>
            </reference>
            <reference field="1" count="4">
              <x v="0"/>
              <x v="6"/>
              <x v="11"/>
              <x v="12"/>
            </reference>
            <reference field="3" count="1" selected="0">
              <x v="3"/>
            </reference>
          </references>
        </pivotArea>
        <pivotArea type="data" collapsedLevelsAreSubtotals="1" fieldPosition="0">
          <references count="2">
            <reference field="4294967294" count="1" selected="0">
              <x v="1"/>
            </reference>
            <reference field="3" count="1">
              <x v="4"/>
            </reference>
          </references>
        </pivotArea>
        <pivotArea type="data" collapsedLevelsAreSubtotals="1" fieldPosition="0">
          <references count="3">
            <reference field="4294967294" count="1" selected="0">
              <x v="1"/>
            </reference>
            <reference field="1" count="4">
              <x v="1"/>
              <x v="4"/>
              <x v="8"/>
              <x v="14"/>
            </reference>
            <reference field="3" count="1" selected="0">
              <x v="4"/>
            </reference>
          </references>
        </pivotArea>
      </pivotAreas>
    </conditionalFormat>
    <conditionalFormat priority="1">
      <pivotAreas count="10">
        <pivotArea type="data" collapsedLevelsAreSubtotals="1" fieldPosition="0">
          <references count="2">
            <reference field="4294967294" count="1" selected="0">
              <x v="0"/>
            </reference>
            <reference field="3" count="1">
              <x v="0"/>
            </reference>
          </references>
        </pivotArea>
        <pivotArea type="data" collapsedLevelsAreSubtotals="1" fieldPosition="0">
          <references count="3">
            <reference field="4294967294" count="1" selected="0">
              <x v="0"/>
            </reference>
            <reference field="1" count="1">
              <x v="15"/>
            </reference>
            <reference field="3" count="1" selected="0">
              <x v="0"/>
            </reference>
          </references>
        </pivotArea>
        <pivotArea type="data" collapsedLevelsAreSubtotals="1" fieldPosition="0">
          <references count="2">
            <reference field="4294967294" count="1" selected="0">
              <x v="0"/>
            </reference>
            <reference field="3" count="1">
              <x v="1"/>
            </reference>
          </references>
        </pivotArea>
        <pivotArea type="data" collapsedLevelsAreSubtotals="1" fieldPosition="0">
          <references count="3">
            <reference field="4294967294" count="1" selected="0">
              <x v="0"/>
            </reference>
            <reference field="1" count="3">
              <x v="2"/>
              <x v="3"/>
              <x v="10"/>
            </reference>
            <reference field="3" count="1" selected="0">
              <x v="1"/>
            </reference>
          </references>
        </pivotArea>
        <pivotArea type="data" collapsedLevelsAreSubtotals="1" fieldPosition="0">
          <references count="2">
            <reference field="4294967294" count="1" selected="0">
              <x v="0"/>
            </reference>
            <reference field="3" count="1">
              <x v="2"/>
            </reference>
          </references>
        </pivotArea>
        <pivotArea type="data" collapsedLevelsAreSubtotals="1" fieldPosition="0">
          <references count="3">
            <reference field="4294967294" count="1" selected="0">
              <x v="0"/>
            </reference>
            <reference field="1" count="4">
              <x v="5"/>
              <x v="7"/>
              <x v="9"/>
              <x v="13"/>
            </reference>
            <reference field="3" count="1" selected="0">
              <x v="2"/>
            </reference>
          </references>
        </pivotArea>
        <pivotArea type="data" collapsedLevelsAreSubtotals="1" fieldPosition="0">
          <references count="2">
            <reference field="4294967294" count="1" selected="0">
              <x v="0"/>
            </reference>
            <reference field="3" count="1">
              <x v="3"/>
            </reference>
          </references>
        </pivotArea>
        <pivotArea type="data" collapsedLevelsAreSubtotals="1" fieldPosition="0">
          <references count="3">
            <reference field="4294967294" count="1" selected="0">
              <x v="0"/>
            </reference>
            <reference field="1" count="4">
              <x v="0"/>
              <x v="6"/>
              <x v="11"/>
              <x v="12"/>
            </reference>
            <reference field="3" count="1" selected="0">
              <x v="3"/>
            </reference>
          </references>
        </pivotArea>
        <pivotArea type="data" collapsedLevelsAreSubtotals="1" fieldPosition="0">
          <references count="2">
            <reference field="4294967294" count="1" selected="0">
              <x v="0"/>
            </reference>
            <reference field="3" count="1">
              <x v="4"/>
            </reference>
          </references>
        </pivotArea>
        <pivotArea type="data" collapsedLevelsAreSubtotals="1" fieldPosition="0">
          <references count="3">
            <reference field="4294967294" count="1" selected="0">
              <x v="0"/>
            </reference>
            <reference field="1" count="4">
              <x v="1"/>
              <x v="4"/>
              <x v="8"/>
              <x v="14"/>
            </reference>
            <reference field="3" count="1" selected="0">
              <x v="4"/>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7C9F0BEA-E54F-41BA-B503-490F468DE3F1}" autoFormatId="16" applyNumberFormats="0" applyBorderFormats="0" applyFontFormats="0" applyPatternFormats="0" applyAlignmentFormats="0" applyWidthHeightFormats="0">
  <queryTableRefresh nextId="30" unboundColumnsLeft="1" unboundColumnsRight="5">
    <queryTableFields count="20">
      <queryTableField id="6" dataBound="0" tableColumnId="6"/>
      <queryTableField id="1" name="Location" tableColumnId="1"/>
      <queryTableField id="2" name="Team" tableColumnId="2"/>
      <queryTableField id="9" dataBound="0" tableColumnId="9"/>
      <queryTableField id="3" name="Region" tableColumnId="3"/>
      <queryTableField id="7" dataBound="0" tableColumnId="7"/>
      <queryTableField id="8" dataBound="0" tableColumnId="8"/>
      <queryTableField id="15" dataBound="0" tableColumnId="10"/>
      <queryTableField id="12" dataBound="0" tableColumnId="12"/>
      <queryTableField id="19" dataBound="0" tableColumnId="18"/>
      <queryTableField id="11" dataBound="0" tableColumnId="11"/>
      <queryTableField id="26" dataBound="0" tableColumnId="15"/>
      <queryTableField id="14" dataBound="0" tableColumnId="14"/>
      <queryTableField id="4" name="Arena" tableColumnId="4"/>
      <queryTableField id="5" name="Capacity" tableColumnId="5"/>
      <queryTableField id="13" dataBound="0" tableColumnId="13"/>
      <queryTableField id="17" dataBound="0" tableColumnId="16"/>
      <queryTableField id="18" dataBound="0" tableColumnId="17"/>
      <queryTableField id="28" dataBound="0" tableColumnId="20"/>
      <queryTableField id="29" dataBound="0"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5" xr16:uid="{065EBE38-8C4E-4A08-B1D7-BD738E14295F}" autoFormatId="16" applyNumberFormats="0" applyBorderFormats="0" applyFontFormats="0" applyPatternFormats="0" applyAlignmentFormats="0" applyWidthHeightFormats="0">
  <queryTableRefresh nextId="4">
    <queryTableFields count="3">
      <queryTableField id="1" name="Metropolitan statistical area" tableColumnId="1"/>
      <queryTableField id="2" name="2024estimate" tableColumnId="2"/>
      <queryTableField id="3" name="%change"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4" xr16:uid="{388C8AC2-4956-4D48-A8C8-4614198A3A9C}" autoFormatId="16" applyNumberFormats="0" applyBorderFormats="0" applyFontFormats="0" applyPatternFormats="0" applyAlignmentFormats="0" applyWidthHeightFormats="0">
  <queryTableRefresh nextId="3">
    <queryTableFields count="2">
      <queryTableField id="1" name="Market" tableColumnId="1"/>
      <queryTableField id="2" name="Rank"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B4172C3C-22E6-4E99-AC28-9DB770DCAC13}" autoFormatId="16" applyNumberFormats="0" applyBorderFormats="0" applyFontFormats="0" applyPatternFormats="0" applyAlignmentFormats="0" applyWidthHeightFormats="0">
  <queryTableRefresh nextId="6" unboundColumnsRight="1">
    <queryTableFields count="3">
      <queryTableField id="1" name="Team" tableColumnId="1"/>
      <queryTableField id="3" name="City" tableColumnId="3"/>
      <queryTableField id="4" dataBound="0" tableColumnId="4"/>
    </queryTableFields>
    <queryTableDeletedFields count="1">
      <deletedField name="Venue"/>
    </queryTableDeleted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2" xr16:uid="{560FCEED-5B26-4CFF-B1F8-29F62773D6FA}" autoFormatId="16" applyNumberFormats="0" applyBorderFormats="0" applyFontFormats="0" applyPatternFormats="0" applyAlignmentFormats="0" applyWidthHeightFormats="0">
  <queryTableRefresh nextId="10" unboundColumnsRight="1">
    <queryTableFields count="5">
      <queryTableField id="2" name="Team" tableColumnId="2"/>
      <queryTableField id="4" name="Value[a]" tableColumnId="4"/>
      <queryTableField id="7" dataBound="0" tableColumnId="3"/>
      <queryTableField id="6" name="Operating Income[c]" tableColumnId="6"/>
      <queryTableField id="9" dataBound="0" tableColumnId="7"/>
    </queryTableFields>
    <queryTableDeletedFields count="3">
      <deletedField name="Change[b]"/>
      <deletedField name="State / Province"/>
      <deletedField name="Rank"/>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288AD4D-A886-4AD1-8B2D-D33EBF273D67}" sourceName="Region">
  <pivotTables>
    <pivotTable tabId="43" name="PivotTable_Popultion"/>
  </pivotTables>
  <data>
    <tabular pivotCacheId="785033718">
      <items count="5">
        <i x="4" s="1"/>
        <i x="2"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3E5BCD53-988D-417B-AB18-0D52337DEAB6}" cache="Slicer_Region" caption="Region"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E5B152C-A12B-41B3-B4AA-0348AB74F56D}" name="Expansion_Cities_Data" displayName="Expansion_Cities_Data" ref="A1:U17" totalsRowShown="0" headerRowDxfId="244" totalsRowDxfId="243" headerRowBorderDxfId="241" tableBorderDxfId="242">
  <sortState xmlns:xlrd2="http://schemas.microsoft.com/office/spreadsheetml/2017/richdata2" ref="A2:T17">
    <sortCondition ref="B1:B17"/>
  </sortState>
  <tableColumns count="21">
    <tableColumn id="1" xr3:uid="{55CDAA7F-D96E-4FA5-A4AF-45110F59A8DC}" name="City ID" dataDxfId="239" totalsRowDxfId="240"/>
    <tableColumn id="2" xr3:uid="{275B79E8-48D0-4F3C-88AA-F72CCB85F0F9}" name="City Name" dataDxfId="237" totalsRowDxfId="238"/>
    <tableColumn id="11" xr3:uid="{DBE69243-90CD-4992-86C4-B7668305E36E}" name="Region Key" dataDxfId="235" totalsRowDxfId="236">
      <calculatedColumnFormula>VLOOKUP(Expansion_Cities_Data[[#This Row],[Region]],Region_Lookup[#All],2,FALSE)</calculatedColumnFormula>
    </tableColumn>
    <tableColumn id="3" xr3:uid="{0B68B002-0F04-4111-BC56-CFE71318614F}" name="Region" dataDxfId="233" totalsRowDxfId="234"/>
    <tableColumn id="4" xr3:uid="{3A653D77-7623-4E6F-A1E3-3EE147F78EAD}" name="Metro Population (2024)" dataDxfId="231" totalsRowDxfId="232" dataCellStyle="Comma" totalsRowCellStyle="Comma">
      <calculatedColumnFormula>VLOOKUP(Expansion_Cities_Data[[#This Row],[City Name]],USA_Metro_Population_Lookup[],2,FALSE)</calculatedColumnFormula>
    </tableColumn>
    <tableColumn id="21" xr3:uid="{B263E0C4-FCB8-4698-BFCB-F688F40F3EBC}" name="Projected Population (2030) " dataDxfId="229" totalsRowDxfId="230" dataCellStyle="Comma" totalsRowCellStyle="Comma">
      <calculatedColumnFormula>Expansion_Cities_Data[[#This Row],[Metro Population (2024)]] + (Expansion_Cities_Data[[#This Row],[Metro Population (2024)]] * G2/100)</calculatedColumnFormula>
    </tableColumn>
    <tableColumn id="15" xr3:uid="{02A466AC-2849-415D-A13A-29BF90C085B5}" name="Population Growth (% change since 2020)" dataDxfId="227" totalsRowDxfId="228" dataCellStyle="Percent" totalsRowCellStyle="Percent">
      <calculatedColumnFormula>VLOOKUP(Expansion_Cities_Data[[#This Row],[City Name]],USA_Metro_Population_Lookup[],3,FALSE)</calculatedColumnFormula>
    </tableColumn>
    <tableColumn id="13" xr3:uid="{27C51F46-508F-46C9-96E4-EA804BA824C1}" name="Demographic Data (15 - 44 Age Group as % of Total Population)" dataDxfId="225" totalsRowDxfId="226" dataCellStyle="Percent" totalsRowCellStyle="Percent">
      <calculatedColumnFormula>VLOOKUP(Expansion_Cities_Data[[#This Row],[City Name]],Demographic_Data_Lookup12[#All], 2, FALSE)</calculatedColumnFormula>
    </tableColumn>
    <tableColumn id="6" xr3:uid="{E506392D-809D-49FF-A7B9-6B040895235B}" name="Per Capita Personal Income (2023)" dataDxfId="223" totalsRowDxfId="224" dataCellStyle="Comma" totalsRowCellStyle="Comma">
      <calculatedColumnFormula>VLOOKUP(Expansion_Cities_Data[[#This Row],[City Name]],Income_Data_Lookup[#All], 2, FALSE)</calculatedColumnFormula>
    </tableColumn>
    <tableColumn id="20" xr3:uid="{EFE1879F-F686-4108-BC06-F1958C66AD58}" name="Personal Income Rank within the USA" dataDxfId="221" totalsRowDxfId="222" dataCellStyle="Comma" totalsRowCellStyle="Comma">
      <calculatedColumnFormula>VLOOKUP(Expansion_Cities_Data[[#This Row],[City Name]],Income_Data_Lookup[#All], 3, FALSE)</calculatedColumnFormula>
    </tableColumn>
    <tableColumn id="5" xr3:uid="{028B8AE5-B8A1-4291-B07C-C1816827F852}" name="Nielsen TV Market Rank" dataDxfId="219" totalsRowDxfId="220" dataCellStyle="Comma" totalsRowCellStyle="Comma">
      <calculatedColumnFormula>VLOOKUP(Expansion_Cities_Data[[#This Row],[City Name]],Nielsen_TV_Market_Lookup[],2,FALSE)</calculatedColumnFormula>
    </tableColumn>
    <tableColumn id="12" xr3:uid="{BC56828D-8976-4D4A-B9B6-97401D39A505}" name="NBA Google Analytic Trend Score (0-100)" dataDxfId="217" totalsRowDxfId="218">
      <calculatedColumnFormula>VLOOKUP(Expansion_Cities_Data[[#This Row],[City Name]], Google_Trend_Score[#All], 2, FALSE)</calculatedColumnFormula>
    </tableColumn>
    <tableColumn id="16" xr3:uid="{C341F01E-F759-4C76-B54D-84953B1F2937}" name="NBA Teams within Fan Base Catchment Area (200kms)" dataDxfId="215" totalsRowDxfId="216" totalsRowCellStyle="Comma"/>
    <tableColumn id="10" xr3:uid="{C92CDFA5-841E-4F00-BE28-257425A7A471}" name="Exsisiting Major Sports Teams" dataDxfId="213" totalsRowDxfId="214">
      <calculatedColumnFormula>COUNTIF(Exsisting_Major_Sports_Teams_Lookup[City],Expansion_Cities_Data[[#This Row],[City Name]])</calculatedColumnFormula>
    </tableColumn>
    <tableColumn id="7" xr3:uid="{A1BA668C-1893-4B5C-9DD6-5B5F63791A8F}" name="NBA Ready Arena?" dataDxfId="211" totalsRowDxfId="212">
      <calculatedColumnFormula>IF(Expansion_Cities_Data[[#This Row],[Arena Capacity ]] &gt; 15000,"Yes","No")</calculatedColumnFormula>
    </tableColumn>
    <tableColumn id="14" xr3:uid="{AE199A83-E73A-4509-862A-7745DD936614}" name="Arena Name" dataDxfId="209" totalsRowDxfId="210" totalsRowCellStyle="Comma"/>
    <tableColumn id="8" xr3:uid="{5CD25B0C-0290-499C-AE0B-CE9BD294DA2C}" name="Arena Capacity " dataDxfId="207" totalsRowDxfId="208" dataCellStyle="Comma" totalsRowCellStyle="Comma"/>
    <tableColumn id="9" xr3:uid="{04270E28-6431-4033-9B0A-4299571EE549}" name="Fortune 500 HQ's" dataDxfId="205" totalsRowDxfId="206" dataCellStyle="Comma" totalsRowCellStyle="Comma">
      <calculatedColumnFormula>COUNTIF(Fortune_500_Companies_Lookup[City],Expansion_Cities_Data[[#This Row],[City Name]])</calculatedColumnFormula>
    </tableColumn>
    <tableColumn id="18" xr3:uid="{451F3D78-E341-42CC-97C9-50C634DE9032}" name="Projected Franchise Valuation" dataDxfId="203" totalsRowDxfId="204" dataCellStyle="Currency" totalsRowCellStyle="Currency">
      <calculatedColumnFormula>3000000000+(Expansion_Cities_Data[[#This Row],[Expansion Weighted Criteria Score]]/100 * (2000000000))</calculatedColumnFormula>
    </tableColumn>
    <tableColumn id="19" xr3:uid="{E0CC2AF0-4566-4A6C-9160-A7432F3B87D1}" name="Expansion Weighted Criteria Score" dataDxfId="201" totalsRowDxfId="202">
      <calculatedColumnFormula>VLOOKUP(Expansion_Cities_Data[[#This Row],[City ID]],Expansion_WCS[#All], 19, FALSE)</calculatedColumnFormula>
    </tableColumn>
    <tableColumn id="17" xr3:uid="{80054E90-B9F0-4086-881F-5DFAFF388A94}" name="All Cities Weighted Criteria Score" dataDxfId="199" totalsRowDxfId="200" totalsRowCellStyle="Comma">
      <calculatedColumnFormula>VLOOKUP(Expansion_Cities_Data[[#This Row],[City ID]],All_Cities_WCS[#All], 18, 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BD970DA-D89F-412B-BA85-4EF382C4EF4F}" name="NBA_Teams_Data" displayName="NBA_Teams_Data" ref="A1:T31" tableType="queryTable" totalsRowShown="0" headerRowDxfId="169" headerRowBorderDxfId="167" tableBorderDxfId="168" totalsRowBorderDxfId="166">
  <autoFilter ref="A1:T31" xr:uid="{7BD970DA-D89F-412B-BA85-4EF382C4EF4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autoFilter>
  <sortState xmlns:xlrd2="http://schemas.microsoft.com/office/spreadsheetml/2017/richdata2" ref="A2:O31">
    <sortCondition ref="C2:C31"/>
  </sortState>
  <tableColumns count="20">
    <tableColumn id="6" xr3:uid="{B8522238-4B1B-4760-8CDB-B5791125143F}" uniqueName="6" name="City ID" queryTableFieldId="6" dataDxfId="164" totalsRowDxfId="165"/>
    <tableColumn id="1" xr3:uid="{E1503B1E-C939-41BB-8B36-78BC1D90EF0E}" uniqueName="1" name="City Name" queryTableFieldId="1" dataDxfId="162" totalsRowDxfId="163"/>
    <tableColumn id="2" xr3:uid="{73F27123-B830-4150-BD7D-F9E7961F5178}" uniqueName="2" name="Team Name" queryTableFieldId="2" dataDxfId="160" totalsRowDxfId="161"/>
    <tableColumn id="9" xr3:uid="{C1653398-DB17-4E88-99A2-F2A3AA53C309}" uniqueName="9" name="Region Key" queryTableFieldId="9" dataDxfId="158" totalsRowDxfId="159">
      <calculatedColumnFormula>VLOOKUP(NBA_Teams_Data[[#This Row],[Region]],Region_Lookup[],2)</calculatedColumnFormula>
    </tableColumn>
    <tableColumn id="3" xr3:uid="{BDBC3BD0-91E7-43AB-B5D8-EC110033C4A8}" uniqueName="3" name="Region" queryTableFieldId="3" dataDxfId="156" totalsRowDxfId="157"/>
    <tableColumn id="7" xr3:uid="{530F70DE-92AB-45E8-9982-60F8C94E8D86}" uniqueName="7" name="Metro Population 2024" queryTableFieldId="7" dataDxfId="154" totalsRowDxfId="155" dataCellStyle="Comma">
      <calculatedColumnFormula>VLOOKUP(NBA_Teams_Data[[#This Row],[City Name]],USA_Metro_Population_Lookup[],2,FALSE)</calculatedColumnFormula>
    </tableColumn>
    <tableColumn id="8" xr3:uid="{7010A107-294B-42F1-BEE2-F5F7D043E754}" uniqueName="8" name="Population Growth (% Change since 2020)" queryTableFieldId="8" dataDxfId="152" totalsRowDxfId="153">
      <calculatedColumnFormula>VLOOKUP(NBA_Teams_Data[[#This Row],[City Name]],USA_Metro_Population_Lookup[], 3, FALSE)</calculatedColumnFormula>
    </tableColumn>
    <tableColumn id="10" xr3:uid="{A6E73A1C-1653-4933-B6C2-56F92C48D67F}" uniqueName="10" name="Demographic Data (15 - 44 Age Group as % of Total Population)" queryTableFieldId="15" dataDxfId="150" totalsRowDxfId="151" dataCellStyle="Percent">
      <calculatedColumnFormula>VLOOKUP(NBA_Teams_Data[[#This Row],[City Name]],Demographic_Data_Lookup12[#All], 2, FALSE)</calculatedColumnFormula>
    </tableColumn>
    <tableColumn id="12" xr3:uid="{3E4B7298-7226-4294-9C60-30D4F2090512}" uniqueName="12" name="Per Capita Personal Income (2023)" queryTableFieldId="12" dataDxfId="148" totalsRowDxfId="149" dataCellStyle="Comma">
      <calculatedColumnFormula>VLOOKUP(NBA_Teams_Data[[#This Row],[City Name]], Income_Data_Lookup[#All], 2, FALSE)</calculatedColumnFormula>
    </tableColumn>
    <tableColumn id="18" xr3:uid="{92FB6451-F30C-4C4F-9F90-0BF1A9F835DF}" uniqueName="18" name="Personal Income Rank within the USA (2023)" queryTableFieldId="19" dataDxfId="146" totalsRowDxfId="147">
      <calculatedColumnFormula>VLOOKUP(NBA_Teams_Data[[#This Row],[City Name]], Income_Data_Lookup[#All], 3, FALSE)</calculatedColumnFormula>
    </tableColumn>
    <tableColumn id="11" xr3:uid="{C9C78BB6-6365-4F0C-AD72-33819F29792D}" uniqueName="11" name="Nielsen TV Market Rank" queryTableFieldId="11" dataDxfId="144" totalsRowDxfId="145" dataCellStyle="Percent">
      <calculatedColumnFormula>VLOOKUP(NBA_Teams_Data[[#This Row],[City Name]],Nielsen_TV_Market_Lookup[],2,FALSE)</calculatedColumnFormula>
    </tableColumn>
    <tableColumn id="15" xr3:uid="{FFD22903-D9EF-4155-9942-BA527F79EB6C}" uniqueName="15" name="NBA Google Analytic Trend Score (0-100)" queryTableFieldId="26" dataDxfId="142" totalsRowDxfId="143">
      <calculatedColumnFormula>VLOOKUP(NBA_Teams_Data[[#This Row],[City Name]],Google_Trend_Score[#All], 2, FALSE)</calculatedColumnFormula>
    </tableColumn>
    <tableColumn id="14" xr3:uid="{D7B8C860-7077-4EFB-9539-8E9A3CB76FAA}" uniqueName="14" name="Major Sports Teams in Metro Area" queryTableFieldId="14" dataDxfId="140" totalsRowDxfId="141">
      <calculatedColumnFormula>COUNTIF(Exsisting_Major_Sports_Teams_Lookup[City],NBA_Teams_Data[[#This Row],[City Name]])</calculatedColumnFormula>
    </tableColumn>
    <tableColumn id="4" xr3:uid="{574BC3E0-B88C-4A82-9368-30A0A888330A}" uniqueName="4" name="Arena Name" queryTableFieldId="4" dataDxfId="138" totalsRowDxfId="139"/>
    <tableColumn id="5" xr3:uid="{9BFAB211-9A1F-4840-B3EB-2EB1F3CFE371}" uniqueName="5" name="Capacity" queryTableFieldId="5" dataDxfId="136" totalsRowDxfId="137" dataCellStyle="Comma"/>
    <tableColumn id="13" xr3:uid="{25099464-3245-40DC-A895-56B5F1639AE2}" uniqueName="13" name="Fortune 500 HQ's" queryTableFieldId="13" dataDxfId="134" totalsRowDxfId="135">
      <calculatedColumnFormula>COUNTIF(Fortune_500_Companies_Lookup[City],NBA_Teams_Data[[#This Row],[City Name]])</calculatedColumnFormula>
    </tableColumn>
    <tableColumn id="16" xr3:uid="{07B09B43-D08B-4E69-95D1-1A6B480CAC2A}" uniqueName="16" name="Franchise Value (Prior to 24/25 NBA season)" queryTableFieldId="17" dataDxfId="132" totalsRowDxfId="133">
      <calculatedColumnFormula>VLOOKUP(NBA_Teams_Data[[#This Row],[Team Name]],NBA_Team_Financial_Data_Lookup[],3,FALSE)</calculatedColumnFormula>
    </tableColumn>
    <tableColumn id="17" xr3:uid="{6AB504B5-5F60-46A0-BF5A-60FE49C5C592}" uniqueName="17" name="EBITDA (Earnings Before Interest, Taxes, Depreciation, and Amortization)" queryTableFieldId="18" dataDxfId="130" totalsRowDxfId="131">
      <calculatedColumnFormula>VLOOKUP(NBA_Teams_Data[[#This Row],[Team Name]],NBA_Team_Financial_Data_Lookup[],5,FALSE)</calculatedColumnFormula>
    </tableColumn>
    <tableColumn id="20" xr3:uid="{F883FD3E-C514-4FA1-970F-AF6D003D373C}" uniqueName="20" name="NBA Weighted Criteria Score" queryTableFieldId="28" dataDxfId="129">
      <calculatedColumnFormula>VLOOKUP(NBA_Teams_Data[[#This Row],[City ID]],NBA_City_WCS[#All],18, FALSE)</calculatedColumnFormula>
    </tableColumn>
    <tableColumn id="21" xr3:uid="{900B13EB-B3B9-4919-A132-63FDC95A3EBD}" uniqueName="21" name="All Cities Weighted Criteria Score" queryTableFieldId="29" dataDxfId="128">
      <calculatedColumnFormula>VLOOKUP(NBA_Teams_Data[[#This Row],[City ID]],All_Cities_WCS[#All],18,FALSE)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AC365B8-BD80-4ECB-B451-4DB69E3CA1D6}" name="All_Cities_WCS" displayName="All_Cities_WCS" ref="A1:S47" totalsRowShown="0" headerRowDxfId="127" headerRowBorderDxfId="125" tableBorderDxfId="126" totalsRowBorderDxfId="124">
  <autoFilter ref="A1:S47" xr:uid="{9AC365B8-BD80-4ECB-B451-4DB69E3CA1D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4D3C3635-A896-4352-9E20-BB798012D787}" name="City ID" dataDxfId="123"/>
    <tableColumn id="2" xr3:uid="{14DAB65A-2BD9-4B86-BD73-C2716A471D54}" name="City Name" dataDxfId="122"/>
    <tableColumn id="20" xr3:uid="{4B557EA1-FB49-4EAE-89C7-BD1995B86FAF}" name="Region" dataDxfId="121"/>
    <tableColumn id="3" xr3:uid="{A9C65202-D233-4E21-A2E4-8C5D1C7DA95C}" name="Metro Population 2024" dataDxfId="120" dataCellStyle="Comma">
      <calculatedColumnFormula>VLOOKUP('All Cities WCS'!B2,USA_Metro_Population_Lookup[#All],2,FALSE)</calculatedColumnFormula>
    </tableColumn>
    <tableColumn id="12" xr3:uid="{2B749A51-33B8-4275-B6DD-654507129E98}" name="Metro Population Weighted Score (20%)" dataDxfId="119" dataCellStyle="Comma">
      <calculatedColumnFormula>(All_Cities_WCS[[#This Row],[Metro Population 2024]] - MIN(All_Cities_WCS[Metro Population 2024]))/(MAX(All_Cities_WCS[Metro Population 2024]) - MIN(All_Cities_WCS[Metro Population 2024])) * 100</calculatedColumnFormula>
    </tableColumn>
    <tableColumn id="4" xr3:uid="{52D78AC5-6ED2-49CE-9D6D-F2FDF8D9E838}" name="Population Growth (% Change since 2020)" dataDxfId="118">
      <calculatedColumnFormula>VLOOKUP('All Cities WCS'!B2,USA_Metro_Population_Lookup[#All],3,FALSE)</calculatedColumnFormula>
    </tableColumn>
    <tableColumn id="13" xr3:uid="{0122F973-6DD6-4295-8453-089C271E13F2}" name="Population Growth Weighted Score (15%)" dataDxfId="117">
      <calculatedColumnFormula>(All_Cities_WCS[[#This Row],[Population Growth (% Change since 2020)]] - MIN(All_Cities_WCS[Population Growth (% Change since 2020)]))/(MAX(All_Cities_WCS[Population Growth (% Change since 2020)]) - MIN(All_Cities_WCS[Population Growth (% Change since 2020)])) * 100</calculatedColumnFormula>
    </tableColumn>
    <tableColumn id="5" xr3:uid="{22729ABC-5363-45F1-9112-70223CEC5394}" name="Per Capita Personal Income (2023)" dataDxfId="116" dataCellStyle="Comma">
      <calculatedColumnFormula>VLOOKUP(All_Cities_WCS[[#This Row],[City Name]],Income_Data_Lookup[#All],2,FALSE)</calculatedColumnFormula>
    </tableColumn>
    <tableColumn id="14" xr3:uid="{F9C91594-DFF6-497D-AC84-B6C73989B282}" name="Per Capita Income Weighted Score (15%)" dataDxfId="115" dataCellStyle="Comma">
      <calculatedColumnFormula>(All_Cities_WCS[[#This Row],[Per Capita Personal Income (2023)]] - MIN(All_Cities_WCS[Per Capita Personal Income (2023)]))/(MAX(All_Cities_WCS[Per Capita Personal Income (2023)]) - MIN(All_Cities_WCS[Per Capita Personal Income (2023)])) * 100</calculatedColumnFormula>
    </tableColumn>
    <tableColumn id="6" xr3:uid="{63369389-3011-4CE8-80D8-51B0FDDDE7DE}" name="Nielsen TV Market Rank" dataDxfId="114">
      <calculatedColumnFormula>VLOOKUP(All_Cities_WCS[[#This Row],[City Name]],Nielsen_TV_Market_Lookup[#All],2,FALSE)</calculatedColumnFormula>
    </tableColumn>
    <tableColumn id="15" xr3:uid="{689B4B73-5EA4-4E6B-9000-461C9EA40A83}" name="TV Market Rank Weighted Score (10%)" dataDxfId="113">
      <calculatedColumnFormula>(All_Cities_WCS[[#This Row],[Nielsen TV Market Rank]] - MAX(All_Cities_WCS[Nielsen TV Market Rank]))/(MIN(All_Cities_WCS[Nielsen TV Market Rank]) - MAX(All_Cities_WCS[Nielsen TV Market Rank])) * 100</calculatedColumnFormula>
    </tableColumn>
    <tableColumn id="7" xr3:uid="{CBA003D8-F32B-43D8-9D98-F1CC22F7DB07}" name="NBA Google Analytic Trend Score (0-100)" dataDxfId="112">
      <calculatedColumnFormula>VLOOKUP(All_Cities_WCS[[#This Row],[City Name]],Google_Trend_Score[#All],2,FALSE)</calculatedColumnFormula>
    </tableColumn>
    <tableColumn id="16" xr3:uid="{7E596B00-EE6A-46DD-A617-02C1640F8BDD}" name="Google Trend Weighted Score (10%)" dataDxfId="111">
      <calculatedColumnFormula>(All_Cities_WCS[[#This Row],[NBA Google Analytic Trend Score (0-100)]] - MIN(All_Cities_WCS[NBA Google Analytic Trend Score (0-100)]))/(MAX(All_Cities_WCS[NBA Google Analytic Trend Score (0-100)]) - MIN(All_Cities_WCS[NBA Google Analytic Trend Score (0-100)])) * 100</calculatedColumnFormula>
    </tableColumn>
    <tableColumn id="8" xr3:uid="{C5E702B5-B99A-4125-A081-C5B6797B5B12}" name="Demographic Data (15 - 44 Age Group as % of Total Population)" dataDxfId="110">
      <calculatedColumnFormula>VLOOKUP(All_Cities_WCS[[#This Row],[City Name]],Demographic_Data_Lookup12[#All],2,FALSE)</calculatedColumnFormula>
    </tableColumn>
    <tableColumn id="17" xr3:uid="{71ADC7A7-6DD0-4019-A882-BFDB402B9AC1}" name="Demographic Weighted Score (10%)" dataDxfId="109">
      <calculatedColumnFormula>(All_Cities_WCS[[#This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calculatedColumnFormula>
    </tableColumn>
    <tableColumn id="9" xr3:uid="{BBE36470-B45F-409E-BA33-490B5CAEF5BD}" name="Arena Criteria (10%)" dataDxfId="108"/>
    <tableColumn id="10" xr3:uid="{A739DAA1-DC7B-410C-AA29-1272ADFA9141}" name="Fortune 500 HQ's" dataDxfId="107">
      <calculatedColumnFormula>COUNTIF(Fortune_500_Companies_Lookup[City],All_Cities_WCS[[#This Row],[City Name]])</calculatedColumnFormula>
    </tableColumn>
    <tableColumn id="18" xr3:uid="{CC148689-C47E-491F-985B-458E064E58E6}" name="Fortune 500 HQ's Score (10%)" dataDxfId="106">
      <calculatedColumnFormula>All_Cities_WCS[[#This Row],[Fortune 500 HQ''s]]/72 * 100</calculatedColumnFormula>
    </tableColumn>
    <tableColumn id="11" xr3:uid="{AF0FBE89-93E5-44A4-A82D-8B636DE67F7E}" name="Weighted Criteria Score" dataDxfId="105">
      <calculatedColumnFormula>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40F6849-EBC3-4D0C-BE91-DD3FD54505F6}" name="Expansion_WCS" displayName="Expansion_WCS" ref="A1:S17" totalsRowShown="0" headerRowDxfId="104" headerRowBorderDxfId="102" tableBorderDxfId="103" totalsRowBorderDxfId="101">
  <autoFilter ref="A1:S17" xr:uid="{D40F6849-EBC3-4D0C-BE91-DD3FD54505F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60F61032-92A3-4409-8208-11CDE9588CC9}" name="City ID" dataDxfId="100"/>
    <tableColumn id="2" xr3:uid="{1B2F524E-F5C9-4D89-8551-84D7DFA9639C}" name="City Name" dataDxfId="99"/>
    <tableColumn id="11" xr3:uid="{B8BFC189-D0CB-4797-ADF7-32848FBBBCE1}" name="Metro Population (2024)" dataDxfId="98" dataCellStyle="Comma">
      <calculatedColumnFormula>VLOOKUP(Expansion_Cities_Data[[#This Row],[City Name]],USA_Metro_Population_Lookup[],2,FALSE)</calculatedColumnFormula>
    </tableColumn>
    <tableColumn id="3" xr3:uid="{B59239B0-42A9-4F7B-BBB9-8419BFB55937}" name="Metro Population Weighted Score (20%)" dataDxfId="97">
      <calculatedColumnFormula>((Expansion_WCS[[#This Row],[Metro Population (2024)]]-MIN(Expansion_WCS[Metro Population (2024)]))/(MAX(Expansion_WCS[Metro Population (2024)])-MIN(Expansion_WCS[Metro Population (2024)])))*100</calculatedColumnFormula>
    </tableColumn>
    <tableColumn id="12" xr3:uid="{32672E84-64EE-4415-B4C8-C44AD3DEE38E}" name="Population Growth (% change since 2020)" dataDxfId="96" dataCellStyle="Percent">
      <calculatedColumnFormula>VLOOKUP(Expansion_Cities_Data[[#This Row],[City Name]],USA_Metro_Population_Lookup[],3,FALSE)</calculatedColumnFormula>
    </tableColumn>
    <tableColumn id="4" xr3:uid="{98A92D73-BCAE-44BF-9F68-28902DBC7A63}" name="Population Growth Weighted Score (15%)" dataDxfId="95">
      <calculatedColumnFormula>(Expansion_WCS[[#This Row],[Population Growth (% change since 2020)]]-MIN(Expansion_WCS[Population Growth (% change since 2020)]))/(MAX(Expansion_WCS[Population Growth (% change since 2020)])-MIN(Expansion_WCS[Population Growth (% change since 2020)])) * 100</calculatedColumnFormula>
    </tableColumn>
    <tableColumn id="13" xr3:uid="{DDFC046A-A597-4E80-9407-14C795E11EBD}" name="Per Capita Personal Income (2023)" dataDxfId="94" dataCellStyle="Comma">
      <calculatedColumnFormula>VLOOKUP(Expansion_Cities_Data[[#This Row],[City Name]],Income_Data_Lookup[#All], 2, FALSE)</calculatedColumnFormula>
    </tableColumn>
    <tableColumn id="5" xr3:uid="{854403CF-1518-4CA1-8609-33376DC7B59A}" name="Per Capita Income Weighted Score (15%)" dataDxfId="93">
      <calculatedColumnFormula>(Expansion_WCS[[#This Row],[Per Capita Personal Income (2023)]]-MIN(Expansion_WCS[Per Capita Personal Income (2023)]))/(MAX(Expansion_WCS[Per Capita Personal Income (2023)])-MIN(Expansion_WCS[Per Capita Personal Income (2023)])) * 100</calculatedColumnFormula>
    </tableColumn>
    <tableColumn id="14" xr3:uid="{0CFC3E21-B913-4633-9DFE-CD56E0DBD20E}" name="Nielsen TV Market Rank" dataDxfId="92">
      <calculatedColumnFormula>VLOOKUP(Expansion_Cities_Data[[#This Row],[City Name]],Nielsen_TV_Market_Lookup[],2,FALSE)</calculatedColumnFormula>
    </tableColumn>
    <tableColumn id="6" xr3:uid="{DA3FBB49-5455-4DBF-B240-6A90C2716D46}" name="TV Market Rank Weighted Score (10%)" dataDxfId="91">
      <calculatedColumnFormula>(Expansion_WCS[[#This Row],[Nielsen TV Market Rank]]-MAX(Expansion_WCS[Nielsen TV Market Rank]))/(MIN(Expansion_WCS[Nielsen TV Market Rank])-MAX(Expansion_WCS[Nielsen TV Market Rank])) * 100</calculatedColumnFormula>
    </tableColumn>
    <tableColumn id="15" xr3:uid="{0216219A-7322-48AF-8164-1D16E31EC3C2}" name="NBA Google Analytic Trend Score (0-100)" dataDxfId="90">
      <calculatedColumnFormula>VLOOKUP(Expansion_Cities_Data[[#This Row],[City Name]], Google_Trend_Score[#All], 2, FALSE)</calculatedColumnFormula>
    </tableColumn>
    <tableColumn id="7" xr3:uid="{E179BEAE-1A65-4722-8573-CBF4AF372B10}" name="Google Trend Weighted Score (10%)" dataDxfId="89">
      <calculatedColumnFormula>(Expansion_WCS[[#This Row],[NBA Google Analytic Trend Score (0-100)]]-MIN(Expansion_WCS[NBA Google Analytic Trend Score (0-100)]))/(MAX(Expansion_WCS[NBA Google Analytic Trend Score (0-100)])-MIN(Expansion_WCS[NBA Google Analytic Trend Score (0-100)])) * 100</calculatedColumnFormula>
    </tableColumn>
    <tableColumn id="16" xr3:uid="{1796036B-AC5E-4A0F-A883-66BE0F7A1A5B}" name="Demographic Data (15 - 44 Age Group as a % of Total Population)" dataDxfId="88" dataCellStyle="Percent">
      <calculatedColumnFormula>VLOOKUP(Expansion_Cities_Data[[#This Row],[City Name]],Demographic_Data_Lookup12[#All], 2, FALSE)</calculatedColumnFormula>
    </tableColumn>
    <tableColumn id="8" xr3:uid="{51890EEB-5271-4F5A-BBAC-218CAC92F734}" name="Demographic Weighted Score (10%)" dataDxfId="87">
      <calculatedColumnFormula array="1">(Expansion_WCS[[#This Row],[Demographic Data (15 - 44 Age Group as a % of Total Population)]]-MIN(Expansion_WCS[Demographic Data (15 - 44 Age Group as a % of Total Population)]))/MAX(Expansion_WCS[Demographic Data (15 - 44 Age Group as a % of Total Population)]-MIN(Expansion_WCS[Demographic Data (15 - 44 Age Group as a % of Total Population)])) * 100</calculatedColumnFormula>
    </tableColumn>
    <tableColumn id="17" xr3:uid="{1D6CCC01-C7F2-4526-BE15-AB45D66FA56F}" name="NBA Ready Arena?" dataDxfId="86">
      <calculatedColumnFormula>IF(Expansion_Cities_Data[[#This Row],[Arena Capacity ]] &gt; 15000,"Yes","No")</calculatedColumnFormula>
    </tableColumn>
    <tableColumn id="9" xr3:uid="{84E50057-D4FC-40B8-816D-984AB0AB95A0}" name="Arena Criteria (10%)" dataDxfId="85">
      <calculatedColumnFormula>IF(Expansion_WCS[[#This Row],[NBA Ready Arena?]] = "YES",100,0)</calculatedColumnFormula>
    </tableColumn>
    <tableColumn id="18" xr3:uid="{8E38427E-2DCC-43A0-A697-F44666F6C3E2}" name="Fortune 500 HQ's" dataDxfId="84">
      <calculatedColumnFormula>COUNTIF(Fortune_500_Companies_Lookup[City],Expansion_Cities_Data[[#This Row],[City Name]])</calculatedColumnFormula>
    </tableColumn>
    <tableColumn id="10" xr3:uid="{2FD477AF-2283-4B75-AD18-71A886D82720}" name="Fortune 500 HQ's Score (10%)" dataDxfId="83">
      <calculatedColumnFormula>Expansion_WCS[[#This Row],[Fortune 500 HQ''s]]/11 * 100</calculatedColumnFormula>
    </tableColumn>
    <tableColumn id="19" xr3:uid="{0D397E51-E61F-42BA-AC8A-E56A40DA3126}" name="Expansion Weighted Criteria Score" dataDxfId="82">
      <calculatedColumnFormula>(Expansion_WCS[[#This Row],[Metro Population Weighted Score (20%)]]*0.2)+(Expansion_WCS[[#This Row],[Population Growth Weighted Score (15%)]]*0.15)+(Expansion_WCS[[#This Row],[Per Capita Income Weighted Score (15%)]]*0.15)+(Expansion_WCS[[#This Row],[TV Market Rank Weighted Score (10%)]]*0.1)+(Expansion_WCS[[#This Row],[Google Trend Weighted Score (10%)]]*0.1)+(Expansion_WCS[[#This Row],[Demographic Weighted Score (10%)]]*0.1)+(Expansion_WCS[[#This Row],[Arena Criteria (10%)]]*0.1)+(Expansion_WCS[[#This Row],[Fortune 500 HQ''s Score (10%)]]*0.1)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BDD3382-5348-4E67-B7E0-A9C95BCE709D}" name="NBA_City_WCS" displayName="NBA_City_WCS" ref="A1:R31" totalsRowShown="0" tableBorderDxfId="81">
  <autoFilter ref="A1:R31" xr:uid="{7BDD3382-5348-4E67-B7E0-A9C95BCE709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B8B44A3E-8EEA-43E2-8DE4-CCDC6C5A9158}" name="City ID" dataDxfId="80"/>
    <tableColumn id="2" xr3:uid="{677BC6A7-E5B5-4DA8-89CB-A816347471BF}" name="City Name" dataDxfId="79"/>
    <tableColumn id="3" xr3:uid="{431ED0E2-63FF-4DA6-A506-D70E7567E0F4}" name="Metro Population 2024" dataDxfId="78" dataCellStyle="Comma">
      <calculatedColumnFormula>VLOOKUP(NBA_Teams_Data[[#This Row],[City Name]],USA_Metro_Population_Lookup[],2,FALSE)</calculatedColumnFormula>
    </tableColumn>
    <tableColumn id="12" xr3:uid="{57011215-8A3A-4FA4-A64C-13832E1B1146}" name="Metro Population Weighted Score (20%)" dataDxfId="77" dataCellStyle="Comma">
      <calculatedColumnFormula>(NBA_City_WCS[[#This Row],[Metro Population 2024]]-MIN(NBA_City_WCS[Metro Population 2024]))/(MAX(NBA_City_WCS[Metro Population 2024])-MIN(NBA_City_WCS[Metro Population 2024])) * 100</calculatedColumnFormula>
    </tableColumn>
    <tableColumn id="4" xr3:uid="{88C50FC7-6C5E-46E7-85CD-BA64C7B2C7E1}" name="Population Growth (% Change since 2020)" dataDxfId="76">
      <calculatedColumnFormula>VLOOKUP(NBA_Teams_Data[[#This Row],[City Name]],USA_Metro_Population_Lookup[], 3, FALSE)</calculatedColumnFormula>
    </tableColumn>
    <tableColumn id="13" xr3:uid="{32ECD8F7-6D73-4FE2-B1A9-ADD4895BC0F2}" name="Population Growth Weighted Score (15%)" dataDxfId="75">
      <calculatedColumnFormula>(NBA_City_WCS[[#This Row],[Population Growth (% Change since 2020)]]-MIN(NBA_City_WCS[[#All],[Population Growth (% Change since 2020)]]))/(MAX(NBA_City_WCS[Population Growth (% Change since 2020)])-MIN(NBA_City_WCS[Population Growth (% Change since 2020)])) * 100</calculatedColumnFormula>
    </tableColumn>
    <tableColumn id="5" xr3:uid="{EFF5FA9D-3A99-4513-9CA5-87848912C692}" name="Per Capita Personal Income (2023)" dataDxfId="74" dataCellStyle="Comma">
      <calculatedColumnFormula>VLOOKUP(NBA_Teams_Data[[#This Row],[City Name]], Income_Data_Lookup[#All], 2, FALSE)</calculatedColumnFormula>
    </tableColumn>
    <tableColumn id="14" xr3:uid="{FCC5613A-7B36-47A5-8920-EED4EA17B226}" name="Per Capita Income Weighted Score (15%)" dataDxfId="73" dataCellStyle="Comma">
      <calculatedColumnFormula>(NBA_City_WCS[[#This Row],[Per Capita Personal Income (2023)]]-MIN(NBA_City_WCS[[#All],[Per Capita Personal Income (2023)]]))/(MAX(NBA_City_WCS[[#All],[Per Capita Personal Income (2023)]])-MIN(NBA_City_WCS[[#All],[Per Capita Personal Income (2023)]])) * 100</calculatedColumnFormula>
    </tableColumn>
    <tableColumn id="6" xr3:uid="{A4035763-B6D5-4F4D-925D-DBBAD040A915}" name="Nielsen TV Market Rank" dataDxfId="72">
      <calculatedColumnFormula>VLOOKUP(NBA_Teams_Data[[#This Row],[City Name]],Nielsen_TV_Market_Lookup[],2,FALSE)</calculatedColumnFormula>
    </tableColumn>
    <tableColumn id="15" xr3:uid="{76B231A0-F6A5-4F44-9414-30462CAB0185}" name="TV Market Rank Weighted Score (10%)" dataDxfId="71">
      <calculatedColumnFormula>(NBA_City_WCS[[#This Row],[Nielsen TV Market Rank]]-MAX(NBA_City_WCS[Nielsen TV Market Rank]))/(MIN(NBA_City_WCS[Nielsen TV Market Rank])-MAX(NBA_City_WCS[Nielsen TV Market Rank])) * 100</calculatedColumnFormula>
    </tableColumn>
    <tableColumn id="7" xr3:uid="{B11ADFBF-7203-4484-BC3A-12F293B72E01}" name="NBA Google Analytic Trend Score (0-100)" dataDxfId="70">
      <calculatedColumnFormula>VLOOKUP(NBA_Teams_Data[[#This Row],[City Name]],Google_Trend_Score[#All], 2, FALSE)</calculatedColumnFormula>
    </tableColumn>
    <tableColumn id="17" xr3:uid="{1A9A9EFB-2D81-4CCE-A148-44D7AB9CD71D}" name="Google Trend Weighted Score (10%)" dataDxfId="69"/>
    <tableColumn id="8" xr3:uid="{CB47EF88-6197-4310-A933-B26C557F9FDC}" name="Demographic Data (15 - 44 Age Group)" dataDxfId="68" dataCellStyle="Percent">
      <calculatedColumnFormula>VLOOKUP(NBA_Teams_Data[[#This Row],[City Name]],Demographic_Data_Lookup12[#All], 2, FALSE)</calculatedColumnFormula>
    </tableColumn>
    <tableColumn id="18" xr3:uid="{6BCD0AF4-2A82-4520-BBC6-D292FC2C06EA}" name="Demographic Weighted Score (10%)" dataDxfId="67" dataCellStyle="Percent">
      <calculatedColumnFormula>(NBA_City_WCS[[#This Row],[Demographic Data (15 - 44 Age Group)]]-MIN(NBA_City_WCS[Demographic Data (15 - 44 Age Group)]))/(MAX(NBA_City_WCS[Demographic Data (15 - 44 Age Group)])-MIN(NBA_City_WCS[Demographic Data (15 - 44 Age Group)])) * 100</calculatedColumnFormula>
    </tableColumn>
    <tableColumn id="9" xr3:uid="{B319B6D7-2585-4461-A4BC-F4974622F122}" name="Arena Criteria (10%)"/>
    <tableColumn id="10" xr3:uid="{2617644E-86A6-44B2-866A-46982234AC8F}" name="Fortune 500 HQ's" dataDxfId="66">
      <calculatedColumnFormula>COUNTIF(Fortune_500_Companies_Lookup[City],NBA_Teams_Data[[#This Row],[City Name]])</calculatedColumnFormula>
    </tableColumn>
    <tableColumn id="19" xr3:uid="{2096CB92-944A-4DD3-8B15-30A023AA744A}" name="Fortune 500 HQ's Score (10%)" dataDxfId="65">
      <calculatedColumnFormula>NBA_City_WCS[[#This Row],[Fortune 500 HQ''s]]/72 * 100</calculatedColumnFormula>
    </tableColumn>
    <tableColumn id="11" xr3:uid="{EEC1D6CB-8544-4F3F-86FD-7110EAB62C27}" name="NBA Weighted Criteria Score" dataDxfId="64">
      <calculatedColumnFormula>NBA_City_WCS[[#This Row],[Metro Population Weighted Score (20%)]]*0.2 + NBA_City_WCS[[#This Row],[Population Growth Weighted Score (15%)]]*0.15 + NBA_City_WCS[[#This Row],[Per Capita Income Weighted Score (15%)]]*0.15 + NBA_City_WCS[[#This Row],[TV Market Rank Weighted Score (10%)]]*0.1 + NBA_City_WCS[[#This Row],[Google Trend Weighted Score (10%)]]*0.1 + NBA_City_WCS[[#This Row],[Demographic Weighted Score (10%)]]*0.1 + NBA_City_WCS[[#This Row],[Arena Criteria (10%)]]*0.1 +NBA_City_WCS[[#This Row],[Fortune 500 HQ''s Score (10%)]]*0.1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DE9D0F0-5A41-45BB-8092-865B04B6FBB3}" name="Region_Lookup" displayName="Region_Lookup" ref="A1:D6" totalsRowShown="0" headerRowDxfId="63" headerRowBorderDxfId="61" tableBorderDxfId="62" totalsRowBorderDxfId="60">
  <autoFilter ref="A1:D6" xr:uid="{ADE9D0F0-5A41-45BB-8092-865B04B6FBB3}">
    <filterColumn colId="0" hiddenButton="1"/>
    <filterColumn colId="1" hiddenButton="1"/>
    <filterColumn colId="2" hiddenButton="1"/>
    <filterColumn colId="3" hiddenButton="1"/>
  </autoFilter>
  <sortState xmlns:xlrd2="http://schemas.microsoft.com/office/spreadsheetml/2017/richdata2" ref="A2:A6">
    <sortCondition ref="A1:A6"/>
  </sortState>
  <tableColumns count="4">
    <tableColumn id="1" xr3:uid="{D3DCA2E1-6EE1-42F5-BCAC-0FB33B7E94FF}" name="Region" dataDxfId="59"/>
    <tableColumn id="2" xr3:uid="{E3B8C25D-CB23-4B39-AD4A-6EA5350B669D}" name="Region Key" dataDxfId="58"/>
    <tableColumn id="4" xr3:uid="{7EFC0261-D19D-4515-9EA0-91734489B381}" name="Country " dataDxfId="57"/>
    <tableColumn id="5" xr3:uid="{EBAA3339-D163-4D9B-B4D0-21A48BEF7225}" name="Continent " dataDxfId="5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06E3FB1-A0A3-423B-AA09-CFDEC46FA148}" name="USA_Metro_Population_Lookup" displayName="USA_Metro_Population_Lookup" ref="A1:C387" tableType="queryTable" totalsRowShown="0" headerRowDxfId="55" headerRowBorderDxfId="53" tableBorderDxfId="54" totalsRowBorderDxfId="52">
  <autoFilter ref="A1:C387" xr:uid="{B06E3FB1-A0A3-423B-AA09-CFDEC46FA148}">
    <filterColumn colId="0" hiddenButton="1"/>
    <filterColumn colId="1" hiddenButton="1"/>
    <filterColumn colId="2" hiddenButton="1"/>
  </autoFilter>
  <sortState xmlns:xlrd2="http://schemas.microsoft.com/office/spreadsheetml/2017/richdata2" ref="A2:C387">
    <sortCondition descending="1" ref="B1:B387"/>
  </sortState>
  <tableColumns count="3">
    <tableColumn id="1" xr3:uid="{2EED71B1-6B6F-4E52-B7AE-A4CAA0B4B114}" uniqueName="1" name="Metropolitan Area" queryTableFieldId="1" dataDxfId="51"/>
    <tableColumn id="2" xr3:uid="{931645EB-C7D7-4358-8EF0-B2925D03E1EC}" uniqueName="2" name="2024 Estimate" queryTableFieldId="2" dataDxfId="50" dataCellStyle="Comma"/>
    <tableColumn id="3" xr3:uid="{90A15F20-6E42-414D-8BE3-F5802BCA2F15}" uniqueName="3" name=" % Change since 2020" queryTableFieldId="3" dataDxfId="4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6A9C79-0A74-4F92-99FE-A14CC0081AA3}" name="Demographic_Data_Lookup12" displayName="Demographic_Data_Lookup12" ref="A1:B45" totalsRowShown="0" headerRowDxfId="46" headerRowBorderDxfId="44" tableBorderDxfId="45" totalsRowBorderDxfId="43">
  <autoFilter ref="A1:B45" xr:uid="{A66A9C79-0A74-4F92-99FE-A14CC0081AA3}">
    <filterColumn colId="0" hiddenButton="1"/>
    <filterColumn colId="1" hiddenButton="1"/>
  </autoFilter>
  <tableColumns count="2">
    <tableColumn id="1" xr3:uid="{CB209735-1C60-4A22-8BE0-F8F2BA3A2297}" name="Metropolitan Area" dataDxfId="42"/>
    <tableColumn id="2" xr3:uid="{B357B605-16A2-4B15-BC0F-4E247C0C2EBC}" name=" % of Population between 15 - 44 Years" dataDxfId="41" dataCellStyle="Perc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923590A-1C22-4A9D-A6BB-3ADBF0CBA74D}" name="Income_Data_Lookup" displayName="Income_Data_Lookup" ref="A1:C386" totalsRowShown="0" headerRowDxfId="40" dataDxfId="39" tableBorderDxfId="38">
  <autoFilter ref="A1:C386" xr:uid="{C923590A-1C22-4A9D-A6BB-3ADBF0CBA74D}">
    <filterColumn colId="0" hiddenButton="1"/>
    <filterColumn colId="1" hiddenButton="1"/>
    <filterColumn colId="2" hiddenButton="1"/>
  </autoFilter>
  <sortState xmlns:xlrd2="http://schemas.microsoft.com/office/spreadsheetml/2017/richdata2" ref="A2:C390">
    <sortCondition ref="C6:C390"/>
  </sortState>
  <tableColumns count="3">
    <tableColumn id="1" xr3:uid="{C267FFCA-B1AA-453C-B13F-B2ED35DA3472}" name="Metropolitan Area" dataDxfId="37"/>
    <tableColumn id="4" xr3:uid="{7A3B34CF-EF12-465A-9AB3-959C1A71605B}" name="Per Capita personal income in 2023" dataDxfId="36"/>
    <tableColumn id="5" xr3:uid="{D1B7548A-0A01-4C61-A032-8265A76A072B}" name="Rank within United States 2023" dataDxfId="3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5665CF5-5EAE-4B14-9E5B-FB4823415EDF}" name="Nielsen_TV_Market_Lookup" displayName="Nielsen_TV_Market_Lookup" ref="A1:B202" tableType="queryTable" totalsRowShown="0" headerRowDxfId="34" headerRowBorderDxfId="32" tableBorderDxfId="33" totalsRowBorderDxfId="31">
  <autoFilter ref="A1:B202" xr:uid="{45665CF5-5EAE-4B14-9E5B-FB4823415EDF}">
    <filterColumn colId="0" hiddenButton="1"/>
    <filterColumn colId="1" hiddenButton="1"/>
  </autoFilter>
  <tableColumns count="2">
    <tableColumn id="1" xr3:uid="{51D80DE5-3F87-408F-84D0-1F50E850448D}" uniqueName="1" name="Market" queryTableFieldId="1" dataDxfId="30"/>
    <tableColumn id="2" xr3:uid="{E8F62951-44B7-4169-AC20-E9CF273031F1}" uniqueName="2" name="Rank" queryTableFieldId="2" dataDxfId="2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F856F4F-6AB1-44BF-910D-FF1A571ADCFD}" name="Google_Trend_Score" displayName="Google_Trend_Score" ref="A1:B212" totalsRowShown="0" headerRowDxfId="28" headerRowBorderDxfId="26" tableBorderDxfId="27" totalsRowBorderDxfId="25">
  <autoFilter ref="A1:B212" xr:uid="{5F856F4F-6AB1-44BF-910D-FF1A571ADCFD}">
    <filterColumn colId="0" hiddenButton="1"/>
    <filterColumn colId="1" hiddenButton="1"/>
  </autoFilter>
  <tableColumns count="2">
    <tableColumn id="1" xr3:uid="{82ABE62C-A396-4D01-B63D-58430F7C0FB2}" name="Metro Area" dataDxfId="24"/>
    <tableColumn id="2" xr3:uid="{CD63CF21-8A02-459D-BBED-D73B3741F9FC}" name="NBA Google Analytic Trend Score" dataDxfId="23"/>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4460FE-C01A-4135-8C15-52163CC6FB3B}" name="Exsisting_Major_Sports_Teams_Lookup" displayName="Exsisting_Major_Sports_Teams_Lookup" ref="A1:C125" tableType="queryTable" totalsRowShown="0" headerRowDxfId="22" headerRowBorderDxfId="20" tableBorderDxfId="21" totalsRowBorderDxfId="19">
  <autoFilter ref="A1:C125" xr:uid="{8E4460FE-C01A-4135-8C15-52163CC6FB3B}">
    <filterColumn colId="0" hiddenButton="1"/>
    <filterColumn colId="1" hiddenButton="1"/>
    <filterColumn colId="2" hiddenButton="1"/>
  </autoFilter>
  <sortState xmlns:xlrd2="http://schemas.microsoft.com/office/spreadsheetml/2017/richdata2" ref="A2:B125">
    <sortCondition ref="B2:B125"/>
  </sortState>
  <tableColumns count="3">
    <tableColumn id="1" xr3:uid="{70202A4D-BDE6-46C7-AEC3-CAF02607F82B}" uniqueName="1" name="Team" queryTableFieldId="1" dataDxfId="18"/>
    <tableColumn id="3" xr3:uid="{67803276-AE0E-4CEA-AB23-09BFE00339E0}" uniqueName="3" name="City" queryTableFieldId="3" dataDxfId="17"/>
    <tableColumn id="4" xr3:uid="{21215924-0E4B-4476-9554-C15AA7C32205}" uniqueName="4" name="Venue" queryTableFieldId="4" dataDxfId="1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DB52C6F-B7F4-44D4-8B70-D5399AF3CFC4}" name="Fortune_500_Companies_Lookup" displayName="Fortune_500_Companies_Lookup" ref="A1:C501" totalsRowShown="0" headerRowDxfId="15" headerRowBorderDxfId="13" tableBorderDxfId="14" totalsRowBorderDxfId="12">
  <autoFilter ref="A1:C501" xr:uid="{2DB52C6F-B7F4-44D4-8B70-D5399AF3CFC4}">
    <filterColumn colId="0" hiddenButton="1"/>
    <filterColumn colId="1" hiddenButton="1"/>
    <filterColumn colId="2" hiddenButton="1"/>
  </autoFilter>
  <tableColumns count="3">
    <tableColumn id="1" xr3:uid="{B086644C-C8F3-40B8-9D44-7BBD8899323A}" name="Rank" dataDxfId="11"/>
    <tableColumn id="2" xr3:uid="{A55656A5-B50E-4300-8205-7C6AF6EED438}" name="Company" dataDxfId="10"/>
    <tableColumn id="4" xr3:uid="{3AC48E62-0FFA-40D9-AAFB-41C76E6AF74B}" name="City" dataDxfId="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D8C4BC8-AD13-44CB-8895-06388947D918}" name="NBA_Team_Financial_Data_Lookup" displayName="NBA_Team_Financial_Data_Lookup" ref="A1:E31" tableType="queryTable" totalsRowShown="0" headerRowDxfId="8" headerRowBorderDxfId="6" tableBorderDxfId="7" totalsRowBorderDxfId="5">
  <autoFilter ref="A1:E31" xr:uid="{3D8C4BC8-AD13-44CB-8895-06388947D918}">
    <filterColumn colId="0" hiddenButton="1"/>
    <filterColumn colId="1" hiddenButton="1"/>
    <filterColumn colId="2" hiddenButton="1"/>
    <filterColumn colId="3" hiddenButton="1"/>
    <filterColumn colId="4" hiddenButton="1"/>
  </autoFilter>
  <sortState xmlns:xlrd2="http://schemas.microsoft.com/office/spreadsheetml/2017/richdata2" ref="A2:D31">
    <sortCondition descending="1" ref="B1:B31"/>
  </sortState>
  <tableColumns count="5">
    <tableColumn id="2" xr3:uid="{7FAAD888-518F-49C7-91E1-DE0C9E88631F}" uniqueName="2" name="Team" queryTableFieldId="2" dataDxfId="4"/>
    <tableColumn id="4" xr3:uid="{E12CCF7D-49BD-42E5-81BB-290D7CF0AA98}" uniqueName="4" name="Franchise Value" queryTableFieldId="4" dataDxfId="3"/>
    <tableColumn id="3" xr3:uid="{8E09DD0E-DBC0-4C8E-9439-6B144B386117}" uniqueName="3" name="Franchise Value (Prior to 24/25 NBA season)" queryTableFieldId="7" dataDxfId="2" dataCellStyle="Currency">
      <calculatedColumnFormula>VALUE(SUBSTITUTE(SUBSTITUTE(LOWER(B2), "$", "") &amp; "", " billion", "")) * 1000000000</calculatedColumnFormula>
    </tableColumn>
    <tableColumn id="6" xr3:uid="{FDAA4870-555A-427F-AC8C-5E5155DA044C}" uniqueName="6" name="Operating Inc" queryTableFieldId="6" dataDxfId="1"/>
    <tableColumn id="7" xr3:uid="{DE05FC85-5435-4914-A12E-5F0AF706C50E}" uniqueName="7" name="Operating Income" queryTableFieldId="9" dataDxfId="0" dataCellStyle="Currency">
      <calculatedColumnFormula>VALUE(SUBSTITUTE(SUBSTITUTE(LOWER(D2), "$", "") &amp; "", " million", "")) * 1000000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1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574DA4-02A3-4BFE-84E8-3DB20C5D10DC}">
  <sheetPr codeName="Sheet1"/>
  <dimension ref="A1:U17"/>
  <sheetViews>
    <sheetView zoomScaleNormal="100" workbookViewId="0">
      <pane xSplit="2" topLeftCell="C1" activePane="topRight" state="frozen"/>
      <selection pane="topRight" activeCell="A9" sqref="A9"/>
    </sheetView>
  </sheetViews>
  <sheetFormatPr defaultRowHeight="14.45"/>
  <cols>
    <col min="1" max="1" width="9.42578125" customWidth="1"/>
    <col min="2" max="2" width="33.42578125" bestFit="1" customWidth="1"/>
    <col min="3" max="3" width="12.85546875" bestFit="1" customWidth="1"/>
    <col min="4" max="4" width="11.140625" bestFit="1" customWidth="1"/>
    <col min="5" max="5" width="22" customWidth="1"/>
    <col min="6" max="6" width="26" bestFit="1" customWidth="1"/>
    <col min="7" max="7" width="37.5703125" bestFit="1" customWidth="1"/>
    <col min="8" max="8" width="35.5703125" bestFit="1" customWidth="1"/>
    <col min="9" max="9" width="34.5703125" bestFit="1" customWidth="1"/>
    <col min="10" max="11" width="22.85546875" customWidth="1"/>
    <col min="12" max="12" width="31" bestFit="1" customWidth="1"/>
    <col min="13" max="13" width="25.5703125" style="2" customWidth="1"/>
    <col min="14" max="14" width="17.140625" customWidth="1"/>
    <col min="15" max="15" width="18.42578125" customWidth="1"/>
    <col min="16" max="16" width="29.5703125" style="2" bestFit="1" customWidth="1"/>
    <col min="17" max="17" width="18.42578125" customWidth="1"/>
    <col min="18" max="18" width="16.42578125" bestFit="1" customWidth="1"/>
    <col min="19" max="19" width="28.42578125" customWidth="1"/>
    <col min="20" max="20" width="23" bestFit="1" customWidth="1"/>
    <col min="21" max="21" width="31.85546875" bestFit="1" customWidth="1"/>
    <col min="25" max="25" width="23" bestFit="1" customWidth="1"/>
    <col min="26" max="26" width="36.5703125" customWidth="1"/>
    <col min="27" max="27" width="22.42578125" bestFit="1" customWidth="1"/>
    <col min="28" max="28" width="17.5703125" bestFit="1" customWidth="1"/>
    <col min="29" max="29" width="29.5703125" bestFit="1" customWidth="1"/>
    <col min="30" max="30" width="23" bestFit="1" customWidth="1"/>
  </cols>
  <sheetData>
    <row r="1" spans="1:21" ht="29.1">
      <c r="A1" s="19" t="s">
        <v>0</v>
      </c>
      <c r="B1" s="20" t="s">
        <v>1</v>
      </c>
      <c r="C1" s="20" t="s">
        <v>2</v>
      </c>
      <c r="D1" s="20" t="s">
        <v>3</v>
      </c>
      <c r="E1" s="20" t="s">
        <v>4</v>
      </c>
      <c r="F1" s="20" t="s">
        <v>5</v>
      </c>
      <c r="G1" s="20" t="s">
        <v>6</v>
      </c>
      <c r="H1" s="34" t="s">
        <v>7</v>
      </c>
      <c r="I1" s="21" t="s">
        <v>8</v>
      </c>
      <c r="J1" s="21" t="s">
        <v>9</v>
      </c>
      <c r="K1" s="20" t="s">
        <v>10</v>
      </c>
      <c r="L1" s="21" t="s">
        <v>11</v>
      </c>
      <c r="M1" s="21" t="s">
        <v>12</v>
      </c>
      <c r="N1" s="21" t="s">
        <v>13</v>
      </c>
      <c r="O1" s="20" t="s">
        <v>14</v>
      </c>
      <c r="P1" s="20" t="s">
        <v>15</v>
      </c>
      <c r="Q1" s="22" t="s">
        <v>16</v>
      </c>
      <c r="R1" s="20" t="s">
        <v>17</v>
      </c>
      <c r="S1" s="22" t="s">
        <v>18</v>
      </c>
      <c r="T1" s="77" t="s">
        <v>19</v>
      </c>
      <c r="U1" s="20" t="s">
        <v>20</v>
      </c>
    </row>
    <row r="2" spans="1:21">
      <c r="A2" s="23" t="s">
        <v>21</v>
      </c>
      <c r="B2" s="17" t="s">
        <v>22</v>
      </c>
      <c r="C2" s="17">
        <f>VLOOKUP(Expansion_Cities_Data[[#This Row],[Region]],Region_Lookup[#All],2,FALSE)</f>
        <v>4</v>
      </c>
      <c r="D2" s="17" t="s">
        <v>23</v>
      </c>
      <c r="E2" s="24">
        <f>VLOOKUP(Expansion_Cities_Data[[#This Row],[City Name]],USA_Metro_Population_Lookup[],2,FALSE)</f>
        <v>1091764</v>
      </c>
      <c r="F2" s="24">
        <f>Expansion_Cities_Data[[#This Row],[Metro Population (2024)]] + (Expansion_Cities_Data[[#This Row],[Metro Population (2024)]] * G2/100)</f>
        <v>1103445.8748000001</v>
      </c>
      <c r="G2" s="50">
        <f>VLOOKUP(Expansion_Cities_Data[[#This Row],[City Name]],USA_Metro_Population_Lookup[],3,FALSE)</f>
        <v>1.07</v>
      </c>
      <c r="H2" s="50">
        <f>VLOOKUP(Expansion_Cities_Data[[#This Row],[City Name]],Demographic_Data_Lookup12[#All], 2, FALSE)</f>
        <v>40.1</v>
      </c>
      <c r="I2" s="24">
        <f>VLOOKUP(Expansion_Cities_Data[[#This Row],[City Name]],Income_Data_Lookup[#All], 2, FALSE)</f>
        <v>57278</v>
      </c>
      <c r="J2" s="24">
        <f>VLOOKUP(Expansion_Cities_Data[[#This Row],[City Name]],Income_Data_Lookup[#All], 3, FALSE)</f>
        <v>216.75</v>
      </c>
      <c r="K2" s="37">
        <f>VLOOKUP(Expansion_Cities_Data[[#This Row],[City Name]],Nielsen_TV_Market_Lookup[],2,FALSE)</f>
        <v>49</v>
      </c>
      <c r="L2" s="17">
        <f>VLOOKUP(Expansion_Cities_Data[[#This Row],[City Name]], Google_Trend_Score[#All], 2, FALSE)</f>
        <v>45</v>
      </c>
      <c r="M2" s="17" t="s">
        <v>24</v>
      </c>
      <c r="N2" s="17">
        <f>COUNTIF(Exsisting_Major_Sports_Teams_Lookup[City],Expansion_Cities_Data[[#This Row],[City Name]])</f>
        <v>0</v>
      </c>
      <c r="O2" s="17" t="str">
        <f>IF(Expansion_Cities_Data[[#This Row],[Arena Capacity ]] &gt; 15000,"Yes","No")</f>
        <v>No</v>
      </c>
      <c r="P2" s="17" t="s">
        <v>25</v>
      </c>
      <c r="Q2" s="24">
        <v>11571</v>
      </c>
      <c r="R2" s="17">
        <f>COUNTIF(Fortune_500_Companies_Lookup[City],Expansion_Cities_Data[[#This Row],[City Name]])</f>
        <v>0</v>
      </c>
      <c r="S2" s="56">
        <f>3000000000+(Expansion_Cities_Data[[#This Row],[Expansion Weighted Criteria Score]]/100 * (2000000000))</f>
        <v>3261416416.449811</v>
      </c>
      <c r="T2" s="55">
        <f>VLOOKUP(Expansion_Cities_Data[[#This Row],[City ID]],Expansion_WCS[#All], 19, FALSE)</f>
        <v>13.070820822490548</v>
      </c>
      <c r="U2" s="13">
        <f>VLOOKUP(Expansion_Cities_Data[[#This Row],[City ID]],All_Cities_WCS[#All], 18, FALSE)</f>
        <v>0</v>
      </c>
    </row>
    <row r="3" spans="1:21">
      <c r="A3" s="23" t="s">
        <v>26</v>
      </c>
      <c r="B3" s="17" t="s">
        <v>27</v>
      </c>
      <c r="C3" s="17">
        <f>VLOOKUP(Expansion_Cities_Data[[#This Row],[Region]],Region_Lookup[#All],2,FALSE)</f>
        <v>5</v>
      </c>
      <c r="D3" s="17" t="s">
        <v>28</v>
      </c>
      <c r="E3" s="26">
        <f>VLOOKUP(Expansion_Cities_Data[[#This Row],[City Name]],USA_Metro_Population_Lookup[],2,FALSE)</f>
        <v>2550637</v>
      </c>
      <c r="F3" s="26">
        <f>Expansion_Cities_Data[[#This Row],[Metro Population (2024)]] + (Expansion_Cities_Data[[#This Row],[Metro Population (2024)]] * G3/100)</f>
        <v>2849061.5290000001</v>
      </c>
      <c r="G3" s="51">
        <f>VLOOKUP(Expansion_Cities_Data[[#This Row],[City Name]],USA_Metro_Population_Lookup[],3,FALSE)</f>
        <v>11.7</v>
      </c>
      <c r="H3" s="50">
        <f>VLOOKUP(Expansion_Cities_Data[[#This Row],[City Name]],Demographic_Data_Lookup12[#All], 2, FALSE)</f>
        <v>46.9</v>
      </c>
      <c r="I3" s="24">
        <f>VLOOKUP(Expansion_Cities_Data[[#This Row],[City Name]],Income_Data_Lookup[#All], 2, FALSE)</f>
        <v>80471</v>
      </c>
      <c r="J3" s="24">
        <f>VLOOKUP(Expansion_Cities_Data[[#This Row],[City Name]],Income_Data_Lookup[#All], 3, FALSE)</f>
        <v>25</v>
      </c>
      <c r="K3" s="37">
        <f>VLOOKUP(Expansion_Cities_Data[[#This Row],[City Name]],Nielsen_TV_Market_Lookup[],2,FALSE)</f>
        <v>35</v>
      </c>
      <c r="L3" s="17">
        <f>VLOOKUP(Expansion_Cities_Data[[#This Row],[City Name]], Google_Trend_Score[#All], 2, FALSE)</f>
        <v>48</v>
      </c>
      <c r="M3" s="17" t="s">
        <v>29</v>
      </c>
      <c r="N3" s="17">
        <f>COUNTIF(Exsisting_Major_Sports_Teams_Lookup[City],Expansion_Cities_Data[[#This Row],[City Name]])</f>
        <v>0</v>
      </c>
      <c r="O3" s="17" t="str">
        <f>IF(Expansion_Cities_Data[[#This Row],[Arena Capacity ]] &gt; 15000,"Yes","No")</f>
        <v>No</v>
      </c>
      <c r="P3" s="17" t="s">
        <v>30</v>
      </c>
      <c r="Q3" s="24">
        <v>8265</v>
      </c>
      <c r="R3" s="17">
        <f>COUNTIF(Fortune_500_Companies_Lookup[City],Expansion_Cities_Data[[#This Row],[City Name]])</f>
        <v>3</v>
      </c>
      <c r="S3" s="56">
        <f>3000000000+(Expansion_Cities_Data[[#This Row],[Expansion Weighted Criteria Score]]/100 * (2000000000))</f>
        <v>4117184863.852993</v>
      </c>
      <c r="T3" s="55">
        <f>VLOOKUP(Expansion_Cities_Data[[#This Row],[City ID]],Expansion_WCS[#All], 19, FALSE)</f>
        <v>55.859243192649664</v>
      </c>
      <c r="U3" s="13">
        <f>VLOOKUP(Expansion_Cities_Data[[#This Row],[City ID]],All_Cities_WCS[#All], 18, FALSE)</f>
        <v>4.1666666666666661</v>
      </c>
    </row>
    <row r="4" spans="1:21">
      <c r="A4" s="23" t="s">
        <v>31</v>
      </c>
      <c r="B4" s="17" t="s">
        <v>32</v>
      </c>
      <c r="C4" s="17">
        <f>VLOOKUP(Expansion_Cities_Data[[#This Row],[Region]],Region_Lookup[#All],2,FALSE)</f>
        <v>2</v>
      </c>
      <c r="D4" s="17" t="s">
        <v>33</v>
      </c>
      <c r="E4" s="24">
        <f>VLOOKUP(Expansion_Cities_Data[[#This Row],[City Name]],USA_Metro_Population_Lookup[],2,FALSE)</f>
        <v>2302815</v>
      </c>
      <c r="F4" s="24">
        <f>Expansion_Cities_Data[[#This Row],[Metro Population (2024)]] + (Expansion_Cities_Data[[#This Row],[Metro Population (2024)]] * G4/100)</f>
        <v>2357161.4339999999</v>
      </c>
      <c r="G4" s="50">
        <f>VLOOKUP(Expansion_Cities_Data[[#This Row],[City Name]],USA_Metro_Population_Lookup[],3,FALSE)</f>
        <v>2.36</v>
      </c>
      <c r="H4" s="50">
        <f>VLOOKUP(Expansion_Cities_Data[[#This Row],[City Name]],Demographic_Data_Lookup12[#All], 2, FALSE)</f>
        <v>39.5</v>
      </c>
      <c r="I4" s="24">
        <f>VLOOKUP(Expansion_Cities_Data[[#This Row],[City Name]],Income_Data_Lookup[#All], 2, FALSE)</f>
        <v>68560</v>
      </c>
      <c r="J4" s="24">
        <f>VLOOKUP(Expansion_Cities_Data[[#This Row],[City Name]],Income_Data_Lookup[#All], 3, FALSE)</f>
        <v>79</v>
      </c>
      <c r="K4" s="37">
        <f>VLOOKUP(Expansion_Cities_Data[[#This Row],[City Name]],Nielsen_TV_Market_Lookup[],2,FALSE)</f>
        <v>38</v>
      </c>
      <c r="L4" s="17">
        <f>VLOOKUP(Expansion_Cities_Data[[#This Row],[City Name]], Google_Trend_Score[#All], 2, FALSE)</f>
        <v>43</v>
      </c>
      <c r="M4" s="17" t="s">
        <v>29</v>
      </c>
      <c r="N4" s="17">
        <f>COUNTIF(Exsisting_Major_Sports_Teams_Lookup[City],Expansion_Cities_Data[[#This Row],[City Name]])</f>
        <v>2</v>
      </c>
      <c r="O4" s="17" t="str">
        <f>IF(Expansion_Cities_Data[[#This Row],[Arena Capacity ]] &gt; 15000,"Yes","No")</f>
        <v>Yes</v>
      </c>
      <c r="P4" s="17" t="s">
        <v>34</v>
      </c>
      <c r="Q4" s="24">
        <v>17000</v>
      </c>
      <c r="R4" s="17">
        <f>COUNTIF(Fortune_500_Companies_Lookup[City],Expansion_Cities_Data[[#This Row],[City Name]])</f>
        <v>8</v>
      </c>
      <c r="S4" s="56">
        <f>3000000000+(Expansion_Cities_Data[[#This Row],[Expansion Weighted Criteria Score]]/100 * (2000000000))</f>
        <v>3883438601.0292277</v>
      </c>
      <c r="T4" s="55">
        <f>VLOOKUP(Expansion_Cities_Data[[#This Row],[City ID]],Expansion_WCS[#All], 19, FALSE)</f>
        <v>44.171930051461381</v>
      </c>
      <c r="U4" s="13">
        <f>VLOOKUP(Expansion_Cities_Data[[#This Row],[City ID]],All_Cities_WCS[#All], 18, FALSE)</f>
        <v>11.111111111111111</v>
      </c>
    </row>
    <row r="5" spans="1:21">
      <c r="A5" s="23" t="s">
        <v>35</v>
      </c>
      <c r="B5" s="17" t="s">
        <v>36</v>
      </c>
      <c r="C5" s="17">
        <f>VLOOKUP(Expansion_Cities_Data[[#This Row],[Region]],Region_Lookup[#All],2,FALSE)</f>
        <v>2</v>
      </c>
      <c r="D5" s="17" t="s">
        <v>33</v>
      </c>
      <c r="E5" s="24">
        <f>VLOOKUP(Expansion_Cities_Data[[#This Row],[City Name]],USA_Metro_Population_Lookup[],2,FALSE)</f>
        <v>2225377</v>
      </c>
      <c r="F5" s="24">
        <f>Expansion_Cities_Data[[#This Row],[Metro Population (2024)]] + (Expansion_Cities_Data[[#This Row],[Metro Population (2024)]] * G5/100)</f>
        <v>2315282.2308</v>
      </c>
      <c r="G5" s="50">
        <f>VLOOKUP(Expansion_Cities_Data[[#This Row],[City Name]],USA_Metro_Population_Lookup[],3,FALSE)</f>
        <v>4.04</v>
      </c>
      <c r="H5" s="50">
        <f>VLOOKUP(Expansion_Cities_Data[[#This Row],[City Name]],Demographic_Data_Lookup12[#All], 2, FALSE)</f>
        <v>42.2</v>
      </c>
      <c r="I5" s="24">
        <f>VLOOKUP(Expansion_Cities_Data[[#This Row],[City Name]],Income_Data_Lookup[#All], 2, FALSE)</f>
        <v>65277</v>
      </c>
      <c r="J5" s="24">
        <f>VLOOKUP(Expansion_Cities_Data[[#This Row],[City Name]],Income_Data_Lookup[#All], 3, FALSE)</f>
        <v>106</v>
      </c>
      <c r="K5" s="37">
        <f>VLOOKUP(Expansion_Cities_Data[[#This Row],[City Name]],Nielsen_TV_Market_Lookup[],2,FALSE)</f>
        <v>36</v>
      </c>
      <c r="L5" s="17">
        <f>VLOOKUP(Expansion_Cities_Data[[#This Row],[City Name]], Google_Trend_Score[#All], 2, FALSE)</f>
        <v>50</v>
      </c>
      <c r="M5" s="17" t="s">
        <v>24</v>
      </c>
      <c r="N5" s="17">
        <f>COUNTIF(Exsisting_Major_Sports_Teams_Lookup[City],Expansion_Cities_Data[[#This Row],[City Name]])</f>
        <v>1</v>
      </c>
      <c r="O5" s="17" t="str">
        <f>IF(Expansion_Cities_Data[[#This Row],[Arena Capacity ]] &gt; 15000,"Yes","No")</f>
        <v>Yes</v>
      </c>
      <c r="P5" s="17" t="s">
        <v>37</v>
      </c>
      <c r="Q5" s="24">
        <v>19500</v>
      </c>
      <c r="R5" s="17">
        <f>COUNTIF(Fortune_500_Companies_Lookup[City],Expansion_Cities_Data[[#This Row],[City Name]])</f>
        <v>5</v>
      </c>
      <c r="S5" s="56">
        <f>3000000000+(Expansion_Cities_Data[[#This Row],[Expansion Weighted Criteria Score]]/100 * (2000000000))</f>
        <v>3936555162.7409601</v>
      </c>
      <c r="T5" s="55">
        <f>VLOOKUP(Expansion_Cities_Data[[#This Row],[City ID]],Expansion_WCS[#All], 19, FALSE)</f>
        <v>46.827758137048022</v>
      </c>
      <c r="U5" s="13">
        <f>VLOOKUP(Expansion_Cities_Data[[#This Row],[City ID]],All_Cities_WCS[#All], 18, FALSE)</f>
        <v>6.9444444444444446</v>
      </c>
    </row>
    <row r="6" spans="1:21">
      <c r="A6" s="23" t="s">
        <v>38</v>
      </c>
      <c r="B6" s="17" t="s">
        <v>39</v>
      </c>
      <c r="C6" s="17">
        <f>VLOOKUP(Expansion_Cities_Data[[#This Row],[Region]],Region_Lookup[#All],2,FALSE)</f>
        <v>5</v>
      </c>
      <c r="D6" s="17" t="s">
        <v>28</v>
      </c>
      <c r="E6" s="26">
        <f>VLOOKUP(Expansion_Cities_Data[[#This Row],[City Name]],USA_Metro_Population_Lookup[],2,FALSE)</f>
        <v>1760548</v>
      </c>
      <c r="F6" s="26">
        <f>Expansion_Cities_Data[[#This Row],[Metro Population (2024)]] + (Expansion_Cities_Data[[#This Row],[Metro Population (2024)]] * G6/100)</f>
        <v>1930088.7724000001</v>
      </c>
      <c r="G6" s="51">
        <f>VLOOKUP(Expansion_Cities_Data[[#This Row],[City Name]],USA_Metro_Population_Lookup[],3,FALSE)</f>
        <v>9.6300000000000008</v>
      </c>
      <c r="H6" s="50">
        <f>VLOOKUP(Expansion_Cities_Data[[#This Row],[City Name]],Demographic_Data_Lookup12[#All], 2, FALSE)</f>
        <v>39.299999999999997</v>
      </c>
      <c r="I6" s="24">
        <f>VLOOKUP(Expansion_Cities_Data[[#This Row],[City Name]],Income_Data_Lookup[#All], 2, FALSE)</f>
        <v>65324</v>
      </c>
      <c r="J6" s="24">
        <f>VLOOKUP(Expansion_Cities_Data[[#This Row],[City Name]],Income_Data_Lookup[#All], 3, FALSE)</f>
        <v>105</v>
      </c>
      <c r="K6" s="37">
        <f>VLOOKUP(Expansion_Cities_Data[[#This Row],[City Name]],Nielsen_TV_Market_Lookup[],2,FALSE)</f>
        <v>42</v>
      </c>
      <c r="L6" s="17">
        <f>VLOOKUP(Expansion_Cities_Data[[#This Row],[City Name]], Google_Trend_Score[#All], 2, FALSE)</f>
        <v>43</v>
      </c>
      <c r="M6" s="17" t="s">
        <v>24</v>
      </c>
      <c r="N6" s="17">
        <f>COUNTIF(Exsisting_Major_Sports_Teams_Lookup[City],Expansion_Cities_Data[[#This Row],[City Name]])</f>
        <v>1</v>
      </c>
      <c r="O6" s="17" t="str">
        <f>IF(Expansion_Cities_Data[[#This Row],[Arena Capacity ]] &gt; 15000,"Yes","No")</f>
        <v>No</v>
      </c>
      <c r="P6" s="17" t="s">
        <v>40</v>
      </c>
      <c r="Q6" s="24">
        <v>14091</v>
      </c>
      <c r="R6" s="17">
        <f>COUNTIF(Fortune_500_Companies_Lookup[City],Expansion_Cities_Data[[#This Row],[City Name]])</f>
        <v>4</v>
      </c>
      <c r="S6" s="56">
        <f>3000000000+(Expansion_Cities_Data[[#This Row],[Expansion Weighted Criteria Score]]/100 * (2000000000))</f>
        <v>3672056237.7943602</v>
      </c>
      <c r="T6" s="55">
        <f>VLOOKUP(Expansion_Cities_Data[[#This Row],[City ID]],Expansion_WCS[#All], 19, FALSE)</f>
        <v>33.602811889718019</v>
      </c>
      <c r="U6" s="13">
        <f>VLOOKUP(Expansion_Cities_Data[[#This Row],[City ID]],All_Cities_WCS[#All], 18, FALSE)</f>
        <v>5.5555555555555554</v>
      </c>
    </row>
    <row r="7" spans="1:21">
      <c r="A7" s="23" t="s">
        <v>41</v>
      </c>
      <c r="B7" s="17" t="s">
        <v>42</v>
      </c>
      <c r="C7" s="17">
        <f>VLOOKUP(Expansion_Cities_Data[[#This Row],[Region]],Region_Lookup[#All],2,FALSE)</f>
        <v>3</v>
      </c>
      <c r="D7" s="17" t="s">
        <v>43</v>
      </c>
      <c r="E7" s="26">
        <f>VLOOKUP(Expansion_Cities_Data[[#This Row],[City Name]],USA_Metro_Population_Lookup[],2,FALSE)</f>
        <v>2253579</v>
      </c>
      <c r="F7" s="26">
        <f>Expansion_Cities_Data[[#This Row],[Metro Population (2024)]] + (Expansion_Cities_Data[[#This Row],[Metro Population (2024)]] * G7/100)</f>
        <v>2316904.5699</v>
      </c>
      <c r="G7" s="51">
        <f>VLOOKUP(Expansion_Cities_Data[[#This Row],[City Name]],USA_Metro_Population_Lookup[],3,FALSE)</f>
        <v>2.81</v>
      </c>
      <c r="H7" s="50">
        <f>VLOOKUP(Expansion_Cities_Data[[#This Row],[City Name]],Demographic_Data_Lookup12[#All], 2, FALSE)</f>
        <v>40.299999999999997</v>
      </c>
      <c r="I7" s="24">
        <f>VLOOKUP(Expansion_Cities_Data[[#This Row],[City Name]],Income_Data_Lookup[#All], 2, FALSE)</f>
        <v>69865</v>
      </c>
      <c r="J7" s="24">
        <f>VLOOKUP(Expansion_Cities_Data[[#This Row],[City Name]],Income_Data_Lookup[#All], 3, FALSE)</f>
        <v>70</v>
      </c>
      <c r="K7" s="37">
        <f>VLOOKUP(Expansion_Cities_Data[[#This Row],[City Name]],Nielsen_TV_Market_Lookup[],2,FALSE)</f>
        <v>34</v>
      </c>
      <c r="L7" s="17">
        <f>VLOOKUP(Expansion_Cities_Data[[#This Row],[City Name]], Google_Trend_Score[#All], 2, FALSE)</f>
        <v>38</v>
      </c>
      <c r="M7" s="17" t="s">
        <v>24</v>
      </c>
      <c r="N7" s="17">
        <f>COUNTIF(Exsisting_Major_Sports_Teams_Lookup[City],Expansion_Cities_Data[[#This Row],[City Name]])</f>
        <v>2</v>
      </c>
      <c r="O7" s="17" t="str">
        <f>IF(Expansion_Cities_Data[[#This Row],[Arena Capacity ]] &gt; 15000,"Yes","No")</f>
        <v>Yes</v>
      </c>
      <c r="P7" s="17" t="s">
        <v>44</v>
      </c>
      <c r="Q7" s="24">
        <v>18972</v>
      </c>
      <c r="R7" s="17">
        <f>COUNTIF(Fortune_500_Companies_Lookup[City],Expansion_Cities_Data[[#This Row],[City Name]])</f>
        <v>1</v>
      </c>
      <c r="S7" s="56">
        <f>3000000000+(Expansion_Cities_Data[[#This Row],[Expansion Weighted Criteria Score]]/100 * (2000000000))</f>
        <v>3770415828.5824051</v>
      </c>
      <c r="T7" s="55">
        <f>VLOOKUP(Expansion_Cities_Data[[#This Row],[City ID]],Expansion_WCS[#All], 19, FALSE)</f>
        <v>38.520791429120251</v>
      </c>
      <c r="U7" s="13">
        <f>VLOOKUP(Expansion_Cities_Data[[#This Row],[City ID]],All_Cities_WCS[#All], 18, FALSE)</f>
        <v>1.3888888888888888</v>
      </c>
    </row>
    <row r="8" spans="1:21">
      <c r="A8" s="23" t="s">
        <v>45</v>
      </c>
      <c r="B8" s="17" t="s">
        <v>46</v>
      </c>
      <c r="C8" s="17">
        <f>VLOOKUP(Expansion_Cities_Data[[#This Row],[Region]],Region_Lookup[#All],2,FALSE)</f>
        <v>4</v>
      </c>
      <c r="D8" s="17" t="s">
        <v>23</v>
      </c>
      <c r="E8" s="26">
        <f>VLOOKUP(Expansion_Cities_Data[[#This Row],[City Name]],USA_Metro_Population_Lookup[],2,FALSE)</f>
        <v>2398871</v>
      </c>
      <c r="F8" s="26">
        <f>Expansion_Cities_Data[[#This Row],[Metro Population (2024)]] + (Expansion_Cities_Data[[#This Row],[Metro Population (2024)]] * G8/100)</f>
        <v>2540164.5019</v>
      </c>
      <c r="G8" s="51">
        <f>VLOOKUP(Expansion_Cities_Data[[#This Row],[City Name]],USA_Metro_Population_Lookup[],3,FALSE)</f>
        <v>5.89</v>
      </c>
      <c r="H8" s="50">
        <f>VLOOKUP(Expansion_Cities_Data[[#This Row],[City Name]],Demographic_Data_Lookup12[#All], 2, FALSE)</f>
        <v>40.9</v>
      </c>
      <c r="I8" s="24">
        <f>VLOOKUP(Expansion_Cities_Data[[#This Row],[City Name]],Income_Data_Lookup[#All], 2, FALSE)</f>
        <v>63767</v>
      </c>
      <c r="J8" s="24">
        <f>VLOOKUP(Expansion_Cities_Data[[#This Row],[City Name]],Income_Data_Lookup[#All], 3, FALSE)</f>
        <v>122</v>
      </c>
      <c r="K8" s="37">
        <f>VLOOKUP(Expansion_Cities_Data[[#This Row],[City Name]],Nielsen_TV_Market_Lookup[],2,FALSE)</f>
        <v>41</v>
      </c>
      <c r="L8" s="17">
        <f>VLOOKUP(Expansion_Cities_Data[[#This Row],[City Name]], Google_Trend_Score[#All], 2, FALSE)</f>
        <v>70</v>
      </c>
      <c r="M8" s="17" t="s">
        <v>24</v>
      </c>
      <c r="N8" s="17">
        <f>COUNTIF(Exsisting_Major_Sports_Teams_Lookup[City],Expansion_Cities_Data[[#This Row],[City Name]])</f>
        <v>3</v>
      </c>
      <c r="O8" s="17" t="str">
        <f>IF(Expansion_Cities_Data[[#This Row],[Arena Capacity ]] &gt; 15000,"Yes","No")</f>
        <v>Yes</v>
      </c>
      <c r="P8" s="17" t="s">
        <v>47</v>
      </c>
      <c r="Q8" s="24">
        <v>18800</v>
      </c>
      <c r="R8" s="17">
        <f>COUNTIF(Fortune_500_Companies_Lookup[City],Expansion_Cities_Data[[#This Row],[City Name]])</f>
        <v>2</v>
      </c>
      <c r="S8" s="56">
        <f>3000000000+(Expansion_Cities_Data[[#This Row],[Expansion Weighted Criteria Score]]/100 * (2000000000))</f>
        <v>4008294711.4422021</v>
      </c>
      <c r="T8" s="55">
        <f>VLOOKUP(Expansion_Cities_Data[[#This Row],[City ID]],Expansion_WCS[#All], 19, FALSE)</f>
        <v>50.414735572110104</v>
      </c>
      <c r="U8" s="13">
        <f>VLOOKUP(Expansion_Cities_Data[[#This Row],[City ID]],All_Cities_WCS[#All], 18, FALSE)</f>
        <v>2.7777777777777777</v>
      </c>
    </row>
    <row r="9" spans="1:21">
      <c r="A9" s="23" t="s">
        <v>48</v>
      </c>
      <c r="B9" s="17" t="s">
        <v>49</v>
      </c>
      <c r="C9" s="17">
        <f>VLOOKUP(Expansion_Cities_Data[[#This Row],[Region]],Region_Lookup[#All],2,FALSE)</f>
        <v>3</v>
      </c>
      <c r="D9" s="17" t="s">
        <v>43</v>
      </c>
      <c r="E9" s="26">
        <f>VLOOKUP(Expansion_Cities_Data[[#This Row],[City Name]],USA_Metro_Population_Lookup[],2,FALSE)</f>
        <v>1394234</v>
      </c>
      <c r="F9" s="26">
        <f>Expansion_Cities_Data[[#This Row],[Metro Population (2024)]] + (Expansion_Cities_Data[[#This Row],[Metro Population (2024)]] * G9/100)</f>
        <v>1426998.4990000001</v>
      </c>
      <c r="G9" s="51">
        <f>VLOOKUP(Expansion_Cities_Data[[#This Row],[City Name]],USA_Metro_Population_Lookup[],3,FALSE)</f>
        <v>2.35</v>
      </c>
      <c r="H9" s="50">
        <f>VLOOKUP(Expansion_Cities_Data[[#This Row],[City Name]],Demographic_Data_Lookup12[#All], 2, FALSE)</f>
        <v>38.9</v>
      </c>
      <c r="I9" s="24">
        <f>VLOOKUP(Expansion_Cities_Data[[#This Row],[City Name]],Income_Data_Lookup[#All], 2, FALSE)</f>
        <v>65205</v>
      </c>
      <c r="J9" s="24">
        <f>VLOOKUP(Expansion_Cities_Data[[#This Row],[City Name]],Income_Data_Lookup[#All], 3, FALSE)</f>
        <v>108</v>
      </c>
      <c r="K9" s="37">
        <f>VLOOKUP(Expansion_Cities_Data[[#This Row],[City Name]],Nielsen_TV_Market_Lookup[],2,FALSE)</f>
        <v>50</v>
      </c>
      <c r="L9" s="17">
        <f>VLOOKUP(Expansion_Cities_Data[[#This Row],[City Name]], Google_Trend_Score[#All], 2, FALSE)</f>
        <v>45</v>
      </c>
      <c r="M9" s="17" t="s">
        <v>29</v>
      </c>
      <c r="N9" s="17">
        <f>COUNTIF(Exsisting_Major_Sports_Teams_Lookup[City],Expansion_Cities_Data[[#This Row],[City Name]])</f>
        <v>0</v>
      </c>
      <c r="O9" s="17" t="str">
        <f>IF(Expansion_Cities_Data[[#This Row],[Arena Capacity ]] &gt; 15000,"Yes","No")</f>
        <v>Yes</v>
      </c>
      <c r="P9" s="17" t="s">
        <v>50</v>
      </c>
      <c r="Q9" s="24">
        <v>23084</v>
      </c>
      <c r="R9" s="17">
        <f>COUNTIF(Fortune_500_Companies_Lookup[City],Expansion_Cities_Data[[#This Row],[City Name]])</f>
        <v>3</v>
      </c>
      <c r="S9" s="56">
        <f>3000000000+(Expansion_Cities_Data[[#This Row],[Expansion Weighted Criteria Score]]/100 * (2000000000))</f>
        <v>3613261845.6812015</v>
      </c>
      <c r="T9" s="55">
        <f>VLOOKUP(Expansion_Cities_Data[[#This Row],[City ID]],Expansion_WCS[#All], 19, FALSE)</f>
        <v>30.663092284060067</v>
      </c>
      <c r="U9" s="13">
        <f>VLOOKUP(Expansion_Cities_Data[[#This Row],[City ID]],All_Cities_WCS[#All], 18, FALSE)</f>
        <v>4.1666666666666661</v>
      </c>
    </row>
    <row r="10" spans="1:21">
      <c r="A10" s="23" t="s">
        <v>51</v>
      </c>
      <c r="B10" s="17" t="s">
        <v>52</v>
      </c>
      <c r="C10" s="17">
        <f>VLOOKUP(Expansion_Cities_Data[[#This Row],[Region]],Region_Lookup[#All],2,FALSE)</f>
        <v>5</v>
      </c>
      <c r="D10" s="17" t="s">
        <v>28</v>
      </c>
      <c r="E10" s="26">
        <f>VLOOKUP(Expansion_Cities_Data[[#This Row],[City Name]],USA_Metro_Population_Lookup[],2,FALSE)</f>
        <v>2150553</v>
      </c>
      <c r="F10" s="26">
        <f>Expansion_Cities_Data[[#This Row],[Metro Population (2024)]] + (Expansion_Cities_Data[[#This Row],[Metro Population (2024)]] * G10/100)</f>
        <v>2295930.3827999998</v>
      </c>
      <c r="G10" s="51">
        <f>VLOOKUP(Expansion_Cities_Data[[#This Row],[City Name]],USA_Metro_Population_Lookup[],3,FALSE)</f>
        <v>6.76</v>
      </c>
      <c r="H10" s="50">
        <f>VLOOKUP(Expansion_Cities_Data[[#This Row],[City Name]],Demographic_Data_Lookup12[#All], 2, FALSE)</f>
        <v>42.8</v>
      </c>
      <c r="I10" s="24">
        <f>VLOOKUP(Expansion_Cities_Data[[#This Row],[City Name]],Income_Data_Lookup[#All], 2, FALSE)</f>
        <v>79453</v>
      </c>
      <c r="J10" s="24">
        <f>VLOOKUP(Expansion_Cities_Data[[#This Row],[City Name]],Income_Data_Lookup[#All], 3, FALSE)</f>
        <v>28</v>
      </c>
      <c r="K10" s="37">
        <f>VLOOKUP(Expansion_Cities_Data[[#This Row],[City Name]],Nielsen_TV_Market_Lookup[],2,FALSE)</f>
        <v>27</v>
      </c>
      <c r="L10" s="17">
        <f>VLOOKUP(Expansion_Cities_Data[[#This Row],[City Name]], Google_Trend_Score[#All], 2, FALSE)</f>
        <v>37</v>
      </c>
      <c r="M10" s="17" t="s">
        <v>24</v>
      </c>
      <c r="N10" s="17">
        <f>COUNTIF(Exsisting_Major_Sports_Teams_Lookup[City],Expansion_Cities_Data[[#This Row],[City Name]])</f>
        <v>2</v>
      </c>
      <c r="O10" s="17" t="str">
        <f>IF(Expansion_Cities_Data[[#This Row],[Arena Capacity ]] &gt; 15000,"Yes","No")</f>
        <v>Yes</v>
      </c>
      <c r="P10" s="17" t="s">
        <v>53</v>
      </c>
      <c r="Q10" s="24">
        <v>18500</v>
      </c>
      <c r="R10" s="17">
        <f>COUNTIF(Fortune_500_Companies_Lookup[City],Expansion_Cities_Data[[#This Row],[City Name]])</f>
        <v>6</v>
      </c>
      <c r="S10" s="56">
        <f>3000000000+(Expansion_Cities_Data[[#This Row],[Expansion Weighted Criteria Score]]/100 * (2000000000))</f>
        <v>4077070587.2389469</v>
      </c>
      <c r="T10" s="55">
        <f>VLOOKUP(Expansion_Cities_Data[[#This Row],[City ID]],Expansion_WCS[#All], 19, FALSE)</f>
        <v>53.853529361947352</v>
      </c>
      <c r="U10" s="13">
        <f>VLOOKUP(Expansion_Cities_Data[[#This Row],[City ID]],All_Cities_WCS[#All], 18, FALSE)</f>
        <v>8.3333333333333321</v>
      </c>
    </row>
    <row r="11" spans="1:21">
      <c r="A11" s="23" t="s">
        <v>54</v>
      </c>
      <c r="B11" s="17" t="s">
        <v>55</v>
      </c>
      <c r="C11" s="17">
        <f>VLOOKUP(Expansion_Cities_Data[[#This Row],[Region]],Region_Lookup[#All],2,FALSE)</f>
        <v>3</v>
      </c>
      <c r="D11" s="17" t="s">
        <v>43</v>
      </c>
      <c r="E11" s="24">
        <f>VLOOKUP(Expansion_Cities_Data[[#This Row],[City Name]],USA_Metro_Population_Lookup[],2,FALSE)</f>
        <v>1001010</v>
      </c>
      <c r="F11" s="24">
        <f>Expansion_Cities_Data[[#This Row],[Metro Population (2024)]] + (Expansion_Cities_Data[[#This Row],[Metro Population (2024)]] * G11/100)</f>
        <v>1035544.845</v>
      </c>
      <c r="G11" s="50">
        <f>VLOOKUP(Expansion_Cities_Data[[#This Row],[City Name]],USA_Metro_Population_Lookup[],3,FALSE)</f>
        <v>3.45</v>
      </c>
      <c r="H11" s="50">
        <f>VLOOKUP(Expansion_Cities_Data[[#This Row],[City Name]],Demographic_Data_Lookup12[#All], 2, FALSE)</f>
        <v>41</v>
      </c>
      <c r="I11" s="24">
        <f>VLOOKUP(Expansion_Cities_Data[[#This Row],[City Name]],Income_Data_Lookup[#All], 2, FALSE)</f>
        <v>75033</v>
      </c>
      <c r="J11" s="24">
        <f>VLOOKUP(Expansion_Cities_Data[[#This Row],[City Name]],Income_Data_Lookup[#All], 3, FALSE)</f>
        <v>45</v>
      </c>
      <c r="K11" s="37">
        <f>VLOOKUP(Expansion_Cities_Data[[#This Row],[City Name]],Nielsen_TV_Market_Lookup[],2,FALSE)</f>
        <v>74</v>
      </c>
      <c r="L11" s="17">
        <f>VLOOKUP(Expansion_Cities_Data[[#This Row],[City Name]], Google_Trend_Score[#All], 2, FALSE)</f>
        <v>40</v>
      </c>
      <c r="M11" s="17" t="s">
        <v>24</v>
      </c>
      <c r="N11" s="17">
        <f>COUNTIF(Exsisting_Major_Sports_Teams_Lookup[City],Expansion_Cities_Data[[#This Row],[City Name]])</f>
        <v>0</v>
      </c>
      <c r="O11" s="17" t="str">
        <f>IF(Expansion_Cities_Data[[#This Row],[Arena Capacity ]] &gt; 15000,"Yes","No")</f>
        <v>Yes</v>
      </c>
      <c r="P11" s="17" t="s">
        <v>56</v>
      </c>
      <c r="Q11" s="24">
        <v>18320</v>
      </c>
      <c r="R11" s="17">
        <f>COUNTIF(Fortune_500_Companies_Lookup[City],Expansion_Cities_Data[[#This Row],[City Name]])</f>
        <v>4</v>
      </c>
      <c r="S11" s="56">
        <f>3000000000+(Expansion_Cities_Data[[#This Row],[Expansion Weighted Criteria Score]]/100 * (2000000000))</f>
        <v>3614168665.7080822</v>
      </c>
      <c r="T11" s="55">
        <f>VLOOKUP(Expansion_Cities_Data[[#This Row],[City ID]],Expansion_WCS[#All], 19, FALSE)</f>
        <v>30.708433285404098</v>
      </c>
      <c r="U11" s="13">
        <f>VLOOKUP(Expansion_Cities_Data[[#This Row],[City ID]],All_Cities_WCS[#All], 18, FALSE)</f>
        <v>5.5555555555555554</v>
      </c>
    </row>
    <row r="12" spans="1:21">
      <c r="A12" s="23" t="s">
        <v>57</v>
      </c>
      <c r="B12" s="17" t="s">
        <v>58</v>
      </c>
      <c r="C12" s="17">
        <f>VLOOKUP(Expansion_Cities_Data[[#This Row],[Region]],Region_Lookup[#All],2,FALSE)</f>
        <v>2</v>
      </c>
      <c r="D12" s="17" t="s">
        <v>33</v>
      </c>
      <c r="E12" s="26">
        <f>VLOOKUP(Expansion_Cities_Data[[#This Row],[City Name]],USA_Metro_Population_Lookup[],2,FALSE)</f>
        <v>2429917</v>
      </c>
      <c r="F12" s="26">
        <f>Expansion_Cities_Data[[#This Row],[Metro Population (2024)]] + (Expansion_Cities_Data[[#This Row],[Metro Population (2024)]] * G12/100)</f>
        <v>2403187.9130000002</v>
      </c>
      <c r="G12" s="51">
        <f>VLOOKUP(Expansion_Cities_Data[[#This Row],[City Name]],USA_Metro_Population_Lookup[],3,FALSE)</f>
        <v>-1.1000000000000001</v>
      </c>
      <c r="H12" s="50">
        <f>VLOOKUP(Expansion_Cities_Data[[#This Row],[City Name]],Demographic_Data_Lookup12[#All], 2, FALSE)</f>
        <v>37.1</v>
      </c>
      <c r="I12" s="24">
        <f>VLOOKUP(Expansion_Cities_Data[[#This Row],[City Name]],Income_Data_Lookup[#All], 2, FALSE)</f>
        <v>70559</v>
      </c>
      <c r="J12" s="24">
        <f>VLOOKUP(Expansion_Cities_Data[[#This Row],[City Name]],Income_Data_Lookup[#All], 3, FALSE)</f>
        <v>63</v>
      </c>
      <c r="K12" s="37">
        <f>VLOOKUP(Expansion_Cities_Data[[#This Row],[City Name]],Nielsen_TV_Market_Lookup[],2,FALSE)</f>
        <v>28</v>
      </c>
      <c r="L12" s="17">
        <f>VLOOKUP(Expansion_Cities_Data[[#This Row],[City Name]], Google_Trend_Score[#All], 2, FALSE)</f>
        <v>35</v>
      </c>
      <c r="M12" s="17" t="s">
        <v>24</v>
      </c>
      <c r="N12" s="17">
        <f>COUNTIF(Exsisting_Major_Sports_Teams_Lookup[City],Expansion_Cities_Data[[#This Row],[City Name]])</f>
        <v>3</v>
      </c>
      <c r="O12" s="17" t="str">
        <f>IF(Expansion_Cities_Data[[#This Row],[Arena Capacity ]] &gt; 15000,"Yes","No")</f>
        <v>Yes</v>
      </c>
      <c r="P12" s="17" t="s">
        <v>59</v>
      </c>
      <c r="Q12" s="24">
        <v>19100</v>
      </c>
      <c r="R12" s="17">
        <f>COUNTIF(Fortune_500_Companies_Lookup[City],Expansion_Cities_Data[[#This Row],[City Name]])</f>
        <v>9</v>
      </c>
      <c r="S12" s="56">
        <f>3000000000+(Expansion_Cities_Data[[#This Row],[Expansion Weighted Criteria Score]]/100 * (2000000000))</f>
        <v>3788516968.6634889</v>
      </c>
      <c r="T12" s="55">
        <f>VLOOKUP(Expansion_Cities_Data[[#This Row],[City ID]],Expansion_WCS[#All], 19, FALSE)</f>
        <v>39.425848433174444</v>
      </c>
      <c r="U12" s="13">
        <f>VLOOKUP(Expansion_Cities_Data[[#This Row],[City ID]],All_Cities_WCS[#All], 18, FALSE)</f>
        <v>12.5</v>
      </c>
    </row>
    <row r="13" spans="1:21">
      <c r="A13" s="23" t="s">
        <v>60</v>
      </c>
      <c r="B13" s="17" t="s">
        <v>61</v>
      </c>
      <c r="C13" s="17">
        <f>VLOOKUP(Expansion_Cities_Data[[#This Row],[Region]],Region_Lookup[#All],2,FALSE)</f>
        <v>4</v>
      </c>
      <c r="D13" s="17" t="s">
        <v>23</v>
      </c>
      <c r="E13" s="26">
        <f>VLOOKUP(Expansion_Cities_Data[[#This Row],[City Name]],USA_Metro_Population_Lookup[],2,FALSE)</f>
        <v>3298799</v>
      </c>
      <c r="F13" s="26">
        <f>Expansion_Cities_Data[[#This Row],[Metro Population (2024)]] + (Expansion_Cities_Data[[#This Row],[Metro Population (2024)]] * G13/100)</f>
        <v>3299128.8799000001</v>
      </c>
      <c r="G13" s="51">
        <f>VLOOKUP(Expansion_Cities_Data[[#This Row],[City Name]],USA_Metro_Population_Lookup[],3,FALSE)</f>
        <v>0.01</v>
      </c>
      <c r="H13" s="50">
        <f>VLOOKUP(Expansion_Cities_Data[[#This Row],[City Name]],Demographic_Data_Lookup12[#All], 2, FALSE)</f>
        <v>43.5</v>
      </c>
      <c r="I13" s="24">
        <f>VLOOKUP(Expansion_Cities_Data[[#This Row],[City Name]],Income_Data_Lookup[#All], 2, FALSE)</f>
        <v>79122</v>
      </c>
      <c r="J13" s="24">
        <f>VLOOKUP(Expansion_Cities_Data[[#This Row],[City Name]],Income_Data_Lookup[#All], 3, FALSE)</f>
        <v>29</v>
      </c>
      <c r="K13" s="37">
        <f>VLOOKUP(Expansion_Cities_Data[[#This Row],[City Name]],Nielsen_TV_Market_Lookup[],2,FALSE)</f>
        <v>31</v>
      </c>
      <c r="L13" s="17">
        <f>VLOOKUP(Expansion_Cities_Data[[#This Row],[City Name]], Google_Trend_Score[#All], 2, FALSE)</f>
        <v>55</v>
      </c>
      <c r="M13" s="17" t="s">
        <v>29</v>
      </c>
      <c r="N13" s="17">
        <f>COUNTIF(Exsisting_Major_Sports_Teams_Lookup[City],Expansion_Cities_Data[[#This Row],[City Name]])</f>
        <v>1</v>
      </c>
      <c r="O13" s="17" t="str">
        <f>IF(Expansion_Cities_Data[[#This Row],[Arena Capacity ]] &gt; 15000,"Yes","No")</f>
        <v>No</v>
      </c>
      <c r="P13" s="17" t="s">
        <v>62</v>
      </c>
      <c r="Q13" s="24">
        <v>14500</v>
      </c>
      <c r="R13" s="17">
        <f>COUNTIF(Fortune_500_Companies_Lookup[City],Expansion_Cities_Data[[#This Row],[City Name]])</f>
        <v>3</v>
      </c>
      <c r="S13" s="56">
        <f>3000000000+(Expansion_Cities_Data[[#This Row],[Expansion Weighted Criteria Score]]/100 * (2000000000))</f>
        <v>3912265573.7315793</v>
      </c>
      <c r="T13" s="55">
        <f>VLOOKUP(Expansion_Cities_Data[[#This Row],[City ID]],Expansion_WCS[#All], 19, FALSE)</f>
        <v>45.613278686578958</v>
      </c>
      <c r="U13" s="13">
        <f>VLOOKUP(Expansion_Cities_Data[[#This Row],[City ID]],All_Cities_WCS[#All], 18, FALSE)</f>
        <v>4.1666666666666661</v>
      </c>
    </row>
    <row r="14" spans="1:21">
      <c r="A14" s="23" t="s">
        <v>63</v>
      </c>
      <c r="B14" s="17" t="s">
        <v>64</v>
      </c>
      <c r="C14" s="17">
        <f>VLOOKUP(Expansion_Cities_Data[[#This Row],[Region]],Region_Lookup[#All],2,FALSE)</f>
        <v>4</v>
      </c>
      <c r="D14" s="17" t="s">
        <v>23</v>
      </c>
      <c r="E14" s="26">
        <f>VLOOKUP(Expansion_Cities_Data[[#This Row],[City Name]],USA_Metro_Population_Lookup[],2,FALSE)</f>
        <v>4145494</v>
      </c>
      <c r="F14" s="26">
        <f>Expansion_Cities_Data[[#This Row],[Metro Population (2024)]] + (Expansion_Cities_Data[[#This Row],[Metro Population (2024)]] * G14/100)</f>
        <v>4276077.0609999998</v>
      </c>
      <c r="G14" s="51">
        <f>VLOOKUP(Expansion_Cities_Data[[#This Row],[City Name]],USA_Metro_Population_Lookup[],3,FALSE)</f>
        <v>3.15</v>
      </c>
      <c r="H14" s="50">
        <f>VLOOKUP(Expansion_Cities_Data[[#This Row],[City Name]],Demographic_Data_Lookup12[#All], 2, FALSE)</f>
        <v>44.2</v>
      </c>
      <c r="I14" s="24">
        <f>VLOOKUP(Expansion_Cities_Data[[#This Row],[City Name]],Income_Data_Lookup[#All], 2, FALSE)</f>
        <v>99339</v>
      </c>
      <c r="J14" s="24">
        <f>VLOOKUP(Expansion_Cities_Data[[#This Row],[City Name]],Income_Data_Lookup[#All], 3, FALSE)</f>
        <v>9</v>
      </c>
      <c r="K14" s="37">
        <f>VLOOKUP(Expansion_Cities_Data[[#This Row],[City Name]],Nielsen_TV_Market_Lookup[],2,FALSE)</f>
        <v>14</v>
      </c>
      <c r="L14" s="17">
        <f>VLOOKUP(Expansion_Cities_Data[[#This Row],[City Name]], Google_Trend_Score[#All], 2, FALSE)</f>
        <v>42</v>
      </c>
      <c r="M14" s="17" t="s">
        <v>24</v>
      </c>
      <c r="N14" s="17">
        <f>COUNTIF(Exsisting_Major_Sports_Teams_Lookup[City],Expansion_Cities_Data[[#This Row],[City Name]])</f>
        <v>3</v>
      </c>
      <c r="O14" s="17" t="str">
        <f>IF(Expansion_Cities_Data[[#This Row],[Arena Capacity ]] &gt; 15000,"Yes","No")</f>
        <v>Yes</v>
      </c>
      <c r="P14" s="17" t="s">
        <v>65</v>
      </c>
      <c r="Q14" s="24">
        <v>18600</v>
      </c>
      <c r="R14" s="27">
        <f>COUNTIF(Fortune_500_Companies_Lookup[City],Expansion_Cities_Data[[#This Row],[City Name]])</f>
        <v>11</v>
      </c>
      <c r="S14" s="56">
        <f>3000000000+(Expansion_Cities_Data[[#This Row],[Expansion Weighted Criteria Score]]/100 * (2000000000))</f>
        <v>4578055721.280448</v>
      </c>
      <c r="T14" s="55">
        <f>VLOOKUP(Expansion_Cities_Data[[#This Row],[City ID]],Expansion_WCS[#All], 19, FALSE)</f>
        <v>78.902786064022393</v>
      </c>
      <c r="U14" s="13">
        <f>VLOOKUP(Expansion_Cities_Data[[#This Row],[City ID]],All_Cities_WCS[#All], 18, FALSE)</f>
        <v>15.277777777777779</v>
      </c>
    </row>
    <row r="15" spans="1:21">
      <c r="A15" s="23" t="s">
        <v>66</v>
      </c>
      <c r="B15" s="17" t="s">
        <v>67</v>
      </c>
      <c r="C15" s="17">
        <f>VLOOKUP(Expansion_Cities_Data[[#This Row],[Region]],Region_Lookup[#All],2,FALSE)</f>
        <v>3</v>
      </c>
      <c r="D15" s="17" t="s">
        <v>43</v>
      </c>
      <c r="E15" s="26">
        <f>VLOOKUP(Expansion_Cities_Data[[#This Row],[City Name]],USA_Metro_Population_Lookup[],2,FALSE)</f>
        <v>2811927</v>
      </c>
      <c r="F15" s="26">
        <f>Expansion_Cities_Data[[#This Row],[Metro Population (2024)]] + (Expansion_Cities_Data[[#This Row],[Metro Population (2024)]] * G15/100)</f>
        <v>2803491.219</v>
      </c>
      <c r="G15" s="51">
        <f>VLOOKUP(Expansion_Cities_Data[[#This Row],[City Name]],USA_Metro_Population_Lookup[],3,FALSE)</f>
        <v>-0.3</v>
      </c>
      <c r="H15" s="50">
        <f>VLOOKUP(Expansion_Cities_Data[[#This Row],[City Name]],Demographic_Data_Lookup12[#All], 2, FALSE)</f>
        <v>38.799999999999997</v>
      </c>
      <c r="I15" s="24">
        <f>VLOOKUP(Expansion_Cities_Data[[#This Row],[City Name]],Income_Data_Lookup[#All], 2, FALSE)</f>
        <v>75577</v>
      </c>
      <c r="J15" s="24">
        <f>VLOOKUP(Expansion_Cities_Data[[#This Row],[City Name]],Income_Data_Lookup[#All], 3, FALSE)</f>
        <v>42</v>
      </c>
      <c r="K15" s="37">
        <f>VLOOKUP(Expansion_Cities_Data[[#This Row],[City Name]],Nielsen_TV_Market_Lookup[],2,FALSE)</f>
        <v>25</v>
      </c>
      <c r="L15" s="17">
        <f>VLOOKUP(Expansion_Cities_Data[[#This Row],[City Name]], Google_Trend_Score[#All], 2, FALSE)</f>
        <v>43</v>
      </c>
      <c r="M15" s="17" t="s">
        <v>24</v>
      </c>
      <c r="N15" s="17">
        <f>COUNTIF(Exsisting_Major_Sports_Teams_Lookup[City],Expansion_Cities_Data[[#This Row],[City Name]])</f>
        <v>2</v>
      </c>
      <c r="O15" s="17" t="str">
        <f>IF(Expansion_Cities_Data[[#This Row],[Arena Capacity ]] &gt; 15000,"Yes","No")</f>
        <v>Yes</v>
      </c>
      <c r="P15" s="17" t="s">
        <v>68</v>
      </c>
      <c r="Q15" s="24">
        <v>21000</v>
      </c>
      <c r="R15" s="17">
        <f>COUNTIF(Fortune_500_Companies_Lookup[City],Expansion_Cities_Data[[#This Row],[City Name]])</f>
        <v>7</v>
      </c>
      <c r="S15" s="56">
        <f>3000000000+(Expansion_Cities_Data[[#This Row],[Expansion Weighted Criteria Score]]/100 * (2000000000))</f>
        <v>3945374090.4460249</v>
      </c>
      <c r="T15" s="55">
        <f>VLOOKUP(Expansion_Cities_Data[[#This Row],[City ID]],Expansion_WCS[#All], 19, FALSE)</f>
        <v>47.268704522301235</v>
      </c>
      <c r="U15" s="13">
        <f>VLOOKUP(Expansion_Cities_Data[[#This Row],[City ID]],All_Cities_WCS[#All], 18, FALSE)</f>
        <v>9.7222222222222232</v>
      </c>
    </row>
    <row r="16" spans="1:21">
      <c r="A16" s="23" t="s">
        <v>69</v>
      </c>
      <c r="B16" s="17" t="s">
        <v>70</v>
      </c>
      <c r="C16" s="17">
        <f>VLOOKUP(Expansion_Cities_Data[[#This Row],[Region]],Region_Lookup[#All],2,FALSE)</f>
        <v>5</v>
      </c>
      <c r="D16" s="17" t="s">
        <v>28</v>
      </c>
      <c r="E16" s="26">
        <f>VLOOKUP(Expansion_Cities_Data[[#This Row],[City Name]],USA_Metro_Population_Lookup[],2,FALSE)</f>
        <v>3424560</v>
      </c>
      <c r="F16" s="26">
        <f>Expansion_Cities_Data[[#This Row],[Metro Population (2024)]] + (Expansion_Cities_Data[[#This Row],[Metro Population (2024)]] * G16/100)</f>
        <v>3693387.96</v>
      </c>
      <c r="G16" s="51">
        <f>VLOOKUP(Expansion_Cities_Data[[#This Row],[City Name]],USA_Metro_Population_Lookup[],3,FALSE)</f>
        <v>7.85</v>
      </c>
      <c r="H16" s="50">
        <f>VLOOKUP(Expansion_Cities_Data[[#This Row],[City Name]],Demographic_Data_Lookup12[#All], 2, FALSE)</f>
        <v>37.700000000000003</v>
      </c>
      <c r="I16" s="24">
        <f>VLOOKUP(Expansion_Cities_Data[[#This Row],[City Name]],Income_Data_Lookup[#All], 2, FALSE)</f>
        <v>63789</v>
      </c>
      <c r="J16" s="24">
        <f>VLOOKUP(Expansion_Cities_Data[[#This Row],[City Name]],Income_Data_Lookup[#All], 3, FALSE)</f>
        <v>121</v>
      </c>
      <c r="K16" s="37">
        <f>VLOOKUP(Expansion_Cities_Data[[#This Row],[City Name]],Nielsen_TV_Market_Lookup[],2,FALSE)</f>
        <v>12</v>
      </c>
      <c r="L16" s="17">
        <f>VLOOKUP(Expansion_Cities_Data[[#This Row],[City Name]], Google_Trend_Score[#All], 2, FALSE)</f>
        <v>42</v>
      </c>
      <c r="M16" s="17" t="s">
        <v>29</v>
      </c>
      <c r="N16" s="17">
        <f>COUNTIF(Exsisting_Major_Sports_Teams_Lookup[City],Expansion_Cities_Data[[#This Row],[City Name]])</f>
        <v>3</v>
      </c>
      <c r="O16" s="17" t="str">
        <f>IF(Expansion_Cities_Data[[#This Row],[Arena Capacity ]] &gt; 15000,"Yes","No")</f>
        <v>Yes</v>
      </c>
      <c r="P16" s="17" t="s">
        <v>71</v>
      </c>
      <c r="Q16" s="24">
        <v>20500</v>
      </c>
      <c r="R16" s="17">
        <f>COUNTIF(Fortune_500_Companies_Lookup[City],Expansion_Cities_Data[[#This Row],[City Name]])</f>
        <v>5</v>
      </c>
      <c r="S16" s="56">
        <f>3000000000+(Expansion_Cities_Data[[#This Row],[Expansion Weighted Criteria Score]]/100 * (2000000000))</f>
        <v>4107651543.5077605</v>
      </c>
      <c r="T16" s="55">
        <f>VLOOKUP(Expansion_Cities_Data[[#This Row],[City ID]],Expansion_WCS[#All], 19, FALSE)</f>
        <v>55.382577175388022</v>
      </c>
      <c r="U16" s="13">
        <f>VLOOKUP(Expansion_Cities_Data[[#This Row],[City ID]],All_Cities_WCS[#All], 18, FALSE)</f>
        <v>6.9444444444444446</v>
      </c>
    </row>
    <row r="17" spans="1:21">
      <c r="A17" s="28" t="s">
        <v>72</v>
      </c>
      <c r="B17" s="29" t="s">
        <v>73</v>
      </c>
      <c r="C17" s="29">
        <f>VLOOKUP(Expansion_Cities_Data[[#This Row],[Region]],Region_Lookup[#All],2,FALSE)</f>
        <v>1</v>
      </c>
      <c r="D17" s="29" t="s">
        <v>74</v>
      </c>
      <c r="E17" s="30">
        <f>VLOOKUP(Expansion_Cities_Data[[#This Row],[City Name]],USA_Metro_Population_Lookup[],2,FALSE)</f>
        <v>1794278</v>
      </c>
      <c r="F17" s="30">
        <f>Expansion_Cities_Data[[#This Row],[Metro Population (2024)]] + (Expansion_Cities_Data[[#This Row],[Metro Population (2024)]] * G17/100)</f>
        <v>1808632.2239999999</v>
      </c>
      <c r="G17" s="52">
        <f>VLOOKUP(Expansion_Cities_Data[[#This Row],[City Name]],USA_Metro_Population_Lookup[],3,FALSE)</f>
        <v>0.8</v>
      </c>
      <c r="H17" s="52">
        <f>VLOOKUP(Expansion_Cities_Data[[#This Row],[City Name]],Demographic_Data_Lookup12[#All], 2, FALSE)</f>
        <v>41.9</v>
      </c>
      <c r="I17" s="30">
        <f>VLOOKUP(Expansion_Cities_Data[[#This Row],[City Name]],Income_Data_Lookup[#All], 2, FALSE)</f>
        <v>62575</v>
      </c>
      <c r="J17" s="24">
        <f>VLOOKUP(Expansion_Cities_Data[[#This Row],[City Name]],Income_Data_Lookup[#All], 3, FALSE)</f>
        <v>132</v>
      </c>
      <c r="K17" s="49">
        <f>VLOOKUP(Expansion_Cities_Data[[#This Row],[City Name]],Nielsen_TV_Market_Lookup[],2,FALSE)</f>
        <v>45</v>
      </c>
      <c r="L17" s="17">
        <f>VLOOKUP(Expansion_Cities_Data[[#This Row],[City Name]], Google_Trend_Score[#All], 2, FALSE)</f>
        <v>52</v>
      </c>
      <c r="M17" s="29" t="s">
        <v>24</v>
      </c>
      <c r="N17" s="29">
        <f>COUNTIF(Exsisting_Major_Sports_Teams_Lookup[City],Expansion_Cities_Data[[#This Row],[City Name]])</f>
        <v>0</v>
      </c>
      <c r="O17" s="29" t="str">
        <f>IF(Expansion_Cities_Data[[#This Row],[Arena Capacity ]] &gt; 15000,"Yes","No")</f>
        <v>No</v>
      </c>
      <c r="P17" s="29" t="s">
        <v>75</v>
      </c>
      <c r="Q17" s="30">
        <v>10253</v>
      </c>
      <c r="R17" s="29">
        <f>COUNTIF(Fortune_500_Companies_Lookup[City],Expansion_Cities_Data[[#This Row],[City Name]])</f>
        <v>3</v>
      </c>
      <c r="S17" s="56">
        <f>3000000000+(Expansion_Cities_Data[[#This Row],[Expansion Weighted Criteria Score]]/100 * (2000000000))</f>
        <v>3526417122.1427975</v>
      </c>
      <c r="T17" s="55">
        <f>VLOOKUP(Expansion_Cities_Data[[#This Row],[City ID]],Expansion_WCS[#All], 19, FALSE)</f>
        <v>26.320856107139885</v>
      </c>
      <c r="U17" s="13">
        <f>VLOOKUP(Expansion_Cities_Data[[#This Row],[City ID]],All_Cities_WCS[#All], 18, FALSE)</f>
        <v>4.1666666666666661</v>
      </c>
    </row>
  </sheetData>
  <conditionalFormatting sqref="G18:G1048576">
    <cfRule type="cellIs" dxfId="286" priority="51" operator="greaterThan">
      <formula>0</formula>
    </cfRule>
    <cfRule type="colorScale" priority="52">
      <colorScale>
        <cfvo type="min"/>
        <cfvo type="max"/>
        <color rgb="FFFF0000"/>
        <color theme="6" tint="0.39997558519241921"/>
      </colorScale>
    </cfRule>
  </conditionalFormatting>
  <conditionalFormatting sqref="G2:G17">
    <cfRule type="cellIs" dxfId="285" priority="42" operator="lessThan">
      <formula>0</formula>
    </cfRule>
    <cfRule type="cellIs" dxfId="284" priority="47" operator="lessThan">
      <formula>"-"</formula>
    </cfRule>
    <cfRule type="cellIs" dxfId="283" priority="48" operator="greaterThan">
      <formula>"-"</formula>
    </cfRule>
  </conditionalFormatting>
  <conditionalFormatting sqref="E2:E17">
    <cfRule type="cellIs" dxfId="282" priority="18" operator="between">
      <formula>1500000</formula>
      <formula>2500000</formula>
    </cfRule>
    <cfRule type="cellIs" dxfId="281" priority="45" operator="lessThan">
      <formula>1500000</formula>
    </cfRule>
    <cfRule type="cellIs" dxfId="280" priority="46" operator="greaterThan">
      <formula>2500000</formula>
    </cfRule>
  </conditionalFormatting>
  <conditionalFormatting sqref="H2:H17">
    <cfRule type="cellIs" dxfId="279" priority="17" operator="between">
      <formula>40</formula>
      <formula>42</formula>
    </cfRule>
    <cfRule type="cellIs" dxfId="278" priority="43" operator="lessThan">
      <formula>40</formula>
    </cfRule>
    <cfRule type="cellIs" dxfId="277" priority="44" operator="greaterThan">
      <formula>42</formula>
    </cfRule>
  </conditionalFormatting>
  <conditionalFormatting sqref="I2:I17">
    <cfRule type="cellIs" dxfId="276" priority="15" operator="between">
      <formula>65000</formula>
      <formula>72000</formula>
    </cfRule>
    <cfRule type="cellIs" dxfId="275" priority="16" operator="between">
      <formula>65000</formula>
      <formula>70000</formula>
    </cfRule>
    <cfRule type="cellIs" dxfId="274" priority="40" operator="lessThan">
      <formula>65000</formula>
    </cfRule>
    <cfRule type="cellIs" dxfId="273" priority="41" operator="greaterThan">
      <formula>75000</formula>
    </cfRule>
  </conditionalFormatting>
  <conditionalFormatting sqref="J2:J17">
    <cfRule type="cellIs" dxfId="272" priority="5" operator="between">
      <formula>44</formula>
      <formula>108</formula>
    </cfRule>
    <cfRule type="cellIs" dxfId="271" priority="7" operator="lessThan">
      <formula>44</formula>
    </cfRule>
    <cfRule type="cellIs" dxfId="270" priority="8" operator="lessThan">
      <formula>44</formula>
    </cfRule>
    <cfRule type="cellIs" dxfId="269" priority="14" operator="between">
      <formula>45</formula>
      <formula>108</formula>
    </cfRule>
    <cfRule type="cellIs" dxfId="268" priority="36" operator="greaterThan">
      <formula>120</formula>
    </cfRule>
    <cfRule type="cellIs" dxfId="267" priority="39" operator="lessThan">
      <formula>45</formula>
    </cfRule>
  </conditionalFormatting>
  <conditionalFormatting sqref="J16:J17">
    <cfRule type="cellIs" dxfId="266" priority="38" operator="greaterThan">
      <formula>120</formula>
    </cfRule>
  </conditionalFormatting>
  <conditionalFormatting sqref="J8">
    <cfRule type="cellIs" dxfId="265" priority="37" operator="greaterThan">
      <formula>120</formula>
    </cfRule>
  </conditionalFormatting>
  <conditionalFormatting sqref="K2:K17">
    <cfRule type="cellIs" dxfId="264" priority="13" operator="between">
      <formula>31</formula>
      <formula>42</formula>
    </cfRule>
    <cfRule type="cellIs" dxfId="263" priority="34" operator="greaterThan">
      <formula>43</formula>
    </cfRule>
    <cfRule type="cellIs" dxfId="262" priority="35" operator="lessThan">
      <formula>30</formula>
    </cfRule>
  </conditionalFormatting>
  <conditionalFormatting sqref="L2:L17">
    <cfRule type="cellIs" dxfId="261" priority="12" operator="between">
      <formula>45</formula>
      <formula>52</formula>
    </cfRule>
    <cfRule type="cellIs" dxfId="260" priority="28" operator="lessThan">
      <formula>49.5</formula>
    </cfRule>
    <cfRule type="cellIs" dxfId="259" priority="29" operator="greaterThan">
      <formula>52.5</formula>
    </cfRule>
  </conditionalFormatting>
  <conditionalFormatting sqref="M2:M17">
    <cfRule type="cellIs" dxfId="258" priority="26" operator="equal">
      <formula>"NO"</formula>
    </cfRule>
    <cfRule type="cellIs" dxfId="257" priority="27" operator="equal">
      <formula>"YES"</formula>
    </cfRule>
  </conditionalFormatting>
  <conditionalFormatting sqref="O2:O17">
    <cfRule type="cellIs" dxfId="256" priority="24" operator="equal">
      <formula>"NO"</formula>
    </cfRule>
    <cfRule type="cellIs" dxfId="255" priority="25" operator="equal">
      <formula>"YES"</formula>
    </cfRule>
  </conditionalFormatting>
  <conditionalFormatting sqref="T2:T17">
    <cfRule type="colorScale" priority="2">
      <colorScale>
        <cfvo type="min"/>
        <cfvo type="percentile" val="50"/>
        <cfvo type="max"/>
        <color rgb="FFF8696B"/>
        <color rgb="FFFFEB84"/>
        <color rgb="FF63BE7B"/>
      </colorScale>
    </cfRule>
    <cfRule type="dataBar" priority="23">
      <dataBar>
        <cfvo type="min"/>
        <cfvo type="max"/>
        <color rgb="FF63C384"/>
      </dataBar>
      <extLst>
        <ext xmlns:x14="http://schemas.microsoft.com/office/spreadsheetml/2009/9/main" uri="{B025F937-C7B1-47D3-B67F-A62EFF666E3E}">
          <x14:id>{25BC6754-0DA4-4276-9D93-3D26D1A6569E}</x14:id>
        </ext>
      </extLst>
    </cfRule>
  </conditionalFormatting>
  <conditionalFormatting sqref="R2:R17">
    <cfRule type="cellIs" dxfId="254" priority="11" operator="equal">
      <formula>3</formula>
    </cfRule>
    <cfRule type="cellIs" dxfId="253" priority="21" operator="lessThan">
      <formula>3</formula>
    </cfRule>
    <cfRule type="cellIs" dxfId="252" priority="22" operator="greaterThan">
      <formula>3</formula>
    </cfRule>
  </conditionalFormatting>
  <conditionalFormatting sqref="S2:S17">
    <cfRule type="cellIs" dxfId="251" priority="9" operator="greaterThan">
      <formula>3800000000</formula>
    </cfRule>
    <cfRule type="cellIs" dxfId="250" priority="10" operator="between">
      <formula>3300000000</formula>
      <formula>4000000000</formula>
    </cfRule>
    <cfRule type="cellIs" dxfId="249" priority="19" operator="lessThan">
      <formula>3500000000</formula>
    </cfRule>
    <cfRule type="cellIs" dxfId="248" priority="20" operator="greaterThan">
      <formula>4000000000</formula>
    </cfRule>
  </conditionalFormatting>
  <conditionalFormatting sqref="J11">
    <cfRule type="cellIs" dxfId="247" priority="4" operator="lessThan">
      <formula>46</formula>
    </cfRule>
    <cfRule type="cellIs" dxfId="246" priority="6" operator="lessThan">
      <formula>44</formula>
    </cfRule>
  </conditionalFormatting>
  <conditionalFormatting sqref="S3:S17">
    <cfRule type="cellIs" dxfId="245" priority="3" operator="between">
      <formula>3300000000</formula>
      <formula>4000000000</formula>
    </cfRule>
  </conditionalFormatting>
  <conditionalFormatting sqref="U2:U17">
    <cfRule type="colorScale" priority="1">
      <colorScale>
        <cfvo type="min"/>
        <cfvo type="percentile" val="50"/>
        <cfvo type="max"/>
        <color rgb="FFF8696B"/>
        <color rgb="FFFFEB84"/>
        <color rgb="FF63BE7B"/>
      </colorScale>
    </cfRule>
  </conditionalFormatting>
  <dataValidations count="2">
    <dataValidation type="list" allowBlank="1" showInputMessage="1" showErrorMessage="1" sqref="AB18:AC1048576" xr:uid="{3241E09A-5691-484C-B37F-BD5BD13229AB}">
      <formula1>"Yes, No"</formula1>
    </dataValidation>
    <dataValidation type="list" allowBlank="1" showInputMessage="1" showErrorMessage="1" sqref="O2:O17" xr:uid="{9CCA2204-5390-4FA7-AC65-6AA7EB8CA107}">
      <formula1>"Yes,No"</formula1>
    </dataValidation>
  </dataValidations>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25BC6754-0DA4-4276-9D93-3D26D1A6569E}">
            <x14:dataBar minLength="0" maxLength="100" gradient="0">
              <x14:cfvo type="autoMin"/>
              <x14:cfvo type="autoMax"/>
              <x14:negativeFillColor rgb="FFFF0000"/>
              <x14:axisColor rgb="FF000000"/>
            </x14:dataBar>
          </x14:cfRule>
          <xm:sqref>T2:T17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CCE59-A985-46D9-9107-79084B8CDE28}">
  <sheetPr codeName="Sheet2"/>
  <dimension ref="A1:X31"/>
  <sheetViews>
    <sheetView workbookViewId="0">
      <pane xSplit="3" topLeftCell="D1" activePane="topRight" state="frozen"/>
      <selection pane="topRight" activeCell="A14" sqref="A14"/>
    </sheetView>
  </sheetViews>
  <sheetFormatPr defaultRowHeight="14.45"/>
  <cols>
    <col min="2" max="2" width="25.5703125" bestFit="1" customWidth="1"/>
    <col min="3" max="3" width="23.42578125" bestFit="1" customWidth="1"/>
    <col min="4" max="4" width="10.5703125" customWidth="1"/>
    <col min="5" max="5" width="11.140625" bestFit="1" customWidth="1"/>
    <col min="6" max="6" width="21.140625" style="2" bestFit="1" customWidth="1"/>
    <col min="7" max="7" width="39.140625" bestFit="1" customWidth="1"/>
    <col min="8" max="8" width="35.5703125" bestFit="1" customWidth="1"/>
    <col min="9" max="9" width="23.42578125" customWidth="1"/>
    <col min="10" max="10" width="26.5703125" style="12" customWidth="1"/>
    <col min="11" max="11" width="22.42578125" bestFit="1" customWidth="1"/>
    <col min="12" max="12" width="19.42578125" bestFit="1" customWidth="1"/>
    <col min="13" max="13" width="20.42578125" customWidth="1"/>
    <col min="14" max="14" width="23" bestFit="1" customWidth="1"/>
    <col min="15" max="15" width="14.140625" customWidth="1"/>
    <col min="16" max="16" width="16.42578125" bestFit="1" customWidth="1"/>
    <col min="17" max="17" width="22.85546875" customWidth="1"/>
    <col min="18" max="19" width="32.140625" customWidth="1"/>
    <col min="20" max="20" width="39.140625" style="11" customWidth="1"/>
    <col min="21" max="21" width="20.5703125" style="2" customWidth="1"/>
    <col min="22" max="22" width="31.42578125" customWidth="1"/>
    <col min="23" max="23" width="21.5703125" customWidth="1"/>
    <col min="24" max="24" width="33" style="11" customWidth="1"/>
    <col min="25" max="25" width="31.5703125" bestFit="1" customWidth="1"/>
  </cols>
  <sheetData>
    <row r="1" spans="1:24" ht="43.5">
      <c r="A1" s="14" t="s">
        <v>0</v>
      </c>
      <c r="B1" s="31" t="s">
        <v>1</v>
      </c>
      <c r="C1" s="31" t="s">
        <v>76</v>
      </c>
      <c r="D1" s="31" t="s">
        <v>2</v>
      </c>
      <c r="E1" s="31" t="s">
        <v>3</v>
      </c>
      <c r="F1" s="32" t="s">
        <v>77</v>
      </c>
      <c r="G1" s="31" t="s">
        <v>78</v>
      </c>
      <c r="H1" s="34" t="s">
        <v>7</v>
      </c>
      <c r="I1" s="33" t="s">
        <v>8</v>
      </c>
      <c r="J1" s="34" t="s">
        <v>79</v>
      </c>
      <c r="K1" s="31" t="s">
        <v>10</v>
      </c>
      <c r="L1" s="21" t="s">
        <v>11</v>
      </c>
      <c r="M1" s="34" t="s">
        <v>80</v>
      </c>
      <c r="N1" s="31" t="s">
        <v>15</v>
      </c>
      <c r="O1" s="32" t="s">
        <v>81</v>
      </c>
      <c r="P1" s="31" t="s">
        <v>17</v>
      </c>
      <c r="Q1" s="35" t="s">
        <v>82</v>
      </c>
      <c r="R1" s="35" t="s">
        <v>83</v>
      </c>
      <c r="S1" s="88" t="s">
        <v>84</v>
      </c>
      <c r="T1" s="31" t="s">
        <v>20</v>
      </c>
      <c r="U1"/>
      <c r="X1"/>
    </row>
    <row r="2" spans="1:24">
      <c r="A2" s="23" t="s">
        <v>85</v>
      </c>
      <c r="B2" s="17" t="s">
        <v>86</v>
      </c>
      <c r="C2" s="17" t="s">
        <v>87</v>
      </c>
      <c r="D2" s="17">
        <f>VLOOKUP(NBA_Teams_Data[[#This Row],[Region]],Region_Lookup[],2)</f>
        <v>5</v>
      </c>
      <c r="E2" s="17" t="s">
        <v>28</v>
      </c>
      <c r="F2" s="24">
        <f>VLOOKUP(NBA_Teams_Data[[#This Row],[City Name]],USA_Metro_Population_Lookup[],2,FALSE)</f>
        <v>6411149</v>
      </c>
      <c r="G2" s="68">
        <f>VLOOKUP(NBA_Teams_Data[[#This Row],[City Name]],USA_Metro_Population_Lookup[], 3, FALSE)</f>
        <v>5.0199999999999996</v>
      </c>
      <c r="H2" s="50">
        <f>VLOOKUP(NBA_Teams_Data[[#This Row],[City Name]],Demographic_Data_Lookup12[#All], 2, FALSE)</f>
        <v>41.8</v>
      </c>
      <c r="I2" s="36">
        <f>VLOOKUP(NBA_Teams_Data[[#This Row],[City Name]], Income_Data_Lookup[#All], 2, FALSE)</f>
        <v>68027</v>
      </c>
      <c r="J2" s="17">
        <f>VLOOKUP(NBA_Teams_Data[[#This Row],[City Name]], Income_Data_Lookup[#All], 3, FALSE)</f>
        <v>85</v>
      </c>
      <c r="K2" s="17">
        <f>VLOOKUP(NBA_Teams_Data[[#This Row],[City Name]],Nielsen_TV_Market_Lookup[],2,FALSE)</f>
        <v>7</v>
      </c>
      <c r="L2" s="17">
        <f>VLOOKUP(NBA_Teams_Data[[#This Row],[City Name]],Google_Trend_Score[#All], 2, FALSE)</f>
        <v>54</v>
      </c>
      <c r="M2" s="17">
        <f>COUNTIF(Exsisting_Major_Sports_Teams_Lookup[City],NBA_Teams_Data[[#This Row],[City Name]])</f>
        <v>3</v>
      </c>
      <c r="N2" s="17" t="s">
        <v>88</v>
      </c>
      <c r="O2" s="24">
        <v>16600</v>
      </c>
      <c r="P2" s="17">
        <f>COUNTIF(Fortune_500_Companies_Lookup[City],NBA_Teams_Data[[#This Row],[City Name]])</f>
        <v>15</v>
      </c>
      <c r="Q2" s="73">
        <f>VLOOKUP(NBA_Teams_Data[[#This Row],[Team Name]],NBA_Team_Financial_Data_Lookup[],3,FALSE)</f>
        <v>3800000000</v>
      </c>
      <c r="R2" s="73">
        <f>VLOOKUP(NBA_Teams_Data[[#This Row],[Team Name]],NBA_Team_Financial_Data_Lookup[],5,FALSE)</f>
        <v>94000000</v>
      </c>
      <c r="S2" s="13">
        <f>VLOOKUP(NBA_Teams_Data[[#This Row],[City ID]],NBA_City_WCS[#All],18, FALSE)</f>
        <v>45.741095359389568</v>
      </c>
      <c r="T2" s="13">
        <f>VLOOKUP(NBA_Teams_Data[[#This Row],[City ID]],All_Cities_WCS[#All],18,FALSE)</f>
        <v>20.833333333333336</v>
      </c>
      <c r="U2"/>
      <c r="X2"/>
    </row>
    <row r="3" spans="1:24">
      <c r="A3" s="23" t="s">
        <v>89</v>
      </c>
      <c r="B3" s="17" t="s">
        <v>90</v>
      </c>
      <c r="C3" s="17" t="s">
        <v>91</v>
      </c>
      <c r="D3" s="17">
        <f>VLOOKUP(NBA_Teams_Data[[#This Row],[Region]],Region_Lookup[],2)</f>
        <v>1</v>
      </c>
      <c r="E3" s="17" t="s">
        <v>74</v>
      </c>
      <c r="F3" s="24">
        <f>VLOOKUP(NBA_Teams_Data[[#This Row],[City Name]],USA_Metro_Population_Lookup[],2,FALSE)</f>
        <v>5025517</v>
      </c>
      <c r="G3" s="68">
        <f>VLOOKUP(NBA_Teams_Data[[#This Row],[City Name]],USA_Metro_Population_Lookup[], 3, FALSE)</f>
        <v>1.7</v>
      </c>
      <c r="H3" s="50">
        <f>VLOOKUP(NBA_Teams_Data[[#This Row],[City Name]],Demographic_Data_Lookup12[#All], 2, FALSE)</f>
        <v>41.3</v>
      </c>
      <c r="I3" s="36">
        <f>VLOOKUP(NBA_Teams_Data[[#This Row],[City Name]], Income_Data_Lookup[#All], 2, FALSE)</f>
        <v>100880</v>
      </c>
      <c r="J3" s="17">
        <f>VLOOKUP(NBA_Teams_Data[[#This Row],[City Name]], Income_Data_Lookup[#All], 3, FALSE)</f>
        <v>7</v>
      </c>
      <c r="K3" s="17">
        <f>VLOOKUP(NBA_Teams_Data[[#This Row],[City Name]],Nielsen_TV_Market_Lookup[],2,FALSE)</f>
        <v>10</v>
      </c>
      <c r="L3" s="17">
        <f>VLOOKUP(NBA_Teams_Data[[#This Row],[City Name]],Google_Trend_Score[#All], 2, FALSE)</f>
        <v>65</v>
      </c>
      <c r="M3" s="17">
        <f>COUNTIF(Exsisting_Major_Sports_Teams_Lookup[City],NBA_Teams_Data[[#This Row],[City Name]])</f>
        <v>4</v>
      </c>
      <c r="N3" s="17" t="s">
        <v>92</v>
      </c>
      <c r="O3" s="24">
        <v>19156</v>
      </c>
      <c r="P3" s="17">
        <f>COUNTIF(Fortune_500_Companies_Lookup[City],NBA_Teams_Data[[#This Row],[City Name]])</f>
        <v>15</v>
      </c>
      <c r="Q3" s="73">
        <f>VLOOKUP(NBA_Teams_Data[[#This Row],[Team Name]],NBA_Team_Financial_Data_Lookup[],3,FALSE)</f>
        <v>6000000000</v>
      </c>
      <c r="R3" s="73">
        <f>VLOOKUP(NBA_Teams_Data[[#This Row],[Team Name]],NBA_Team_Financial_Data_Lookup[],5,FALSE)</f>
        <v>121000000</v>
      </c>
      <c r="S3" s="13">
        <f>VLOOKUP(NBA_Teams_Data[[#This Row],[City ID]],NBA_City_WCS[#All],18, FALSE)</f>
        <v>48.964778974653299</v>
      </c>
      <c r="T3" s="13">
        <f>VLOOKUP(NBA_Teams_Data[[#This Row],[City ID]],All_Cities_WCS[#All],18,FALSE)</f>
        <v>20.833333333333336</v>
      </c>
      <c r="U3"/>
      <c r="X3"/>
    </row>
    <row r="4" spans="1:24">
      <c r="A4" s="23" t="s">
        <v>93</v>
      </c>
      <c r="B4" s="17" t="s">
        <v>94</v>
      </c>
      <c r="C4" s="17" t="s">
        <v>95</v>
      </c>
      <c r="D4" s="17">
        <f>VLOOKUP(NBA_Teams_Data[[#This Row],[Region]],Region_Lookup[],2)</f>
        <v>1</v>
      </c>
      <c r="E4" s="17" t="s">
        <v>74</v>
      </c>
      <c r="F4" s="24">
        <f>VLOOKUP(NBA_Teams_Data[[#This Row],[City Name]],USA_Metro_Population_Lookup[],2,FALSE)</f>
        <v>19940274</v>
      </c>
      <c r="G4" s="68">
        <f>VLOOKUP(NBA_Teams_Data[[#This Row],[City Name]],USA_Metro_Population_Lookup[], 3, FALSE)</f>
        <v>-0.71</v>
      </c>
      <c r="H4" s="50">
        <f>VLOOKUP(NBA_Teams_Data[[#This Row],[City Name]],Demographic_Data_Lookup12[#All], 2, FALSE)</f>
        <v>39.5</v>
      </c>
      <c r="I4" s="36">
        <f>VLOOKUP(NBA_Teams_Data[[#This Row],[City Name]], Income_Data_Lookup[#All], 2, FALSE)</f>
        <v>91448</v>
      </c>
      <c r="J4" s="17">
        <f>VLOOKUP(NBA_Teams_Data[[#This Row],[City Name]], Income_Data_Lookup[#All], 3, FALSE)</f>
        <v>12</v>
      </c>
      <c r="K4" s="17">
        <f>VLOOKUP(NBA_Teams_Data[[#This Row],[City Name]],Nielsen_TV_Market_Lookup[],2,FALSE)</f>
        <v>1</v>
      </c>
      <c r="L4" s="17">
        <f>VLOOKUP(NBA_Teams_Data[[#This Row],[City Name]],Google_Trend_Score[#All], 2, FALSE)</f>
        <v>62</v>
      </c>
      <c r="M4" s="17">
        <f>COUNTIF(Exsisting_Major_Sports_Teams_Lookup[City],NBA_Teams_Data[[#This Row],[City Name]])</f>
        <v>9</v>
      </c>
      <c r="N4" s="17" t="s">
        <v>96</v>
      </c>
      <c r="O4" s="24">
        <v>17732</v>
      </c>
      <c r="P4" s="17">
        <f>COUNTIF(Fortune_500_Companies_Lookup[City],NBA_Teams_Data[[#This Row],[City Name]])</f>
        <v>72</v>
      </c>
      <c r="Q4" s="73">
        <f>VLOOKUP(NBA_Teams_Data[[#This Row],[Team Name]],NBA_Team_Financial_Data_Lookup[],3,FALSE)</f>
        <v>4800000000</v>
      </c>
      <c r="R4" s="73">
        <f>VLOOKUP(NBA_Teams_Data[[#This Row],[Team Name]],NBA_Team_Financial_Data_Lookup[],5,FALSE)</f>
        <v>43000000</v>
      </c>
      <c r="S4" s="13">
        <f>VLOOKUP(NBA_Teams_Data[[#This Row],[City ID]],NBA_City_WCS[#All],18, FALSE)</f>
        <v>66.962578110667721</v>
      </c>
      <c r="T4" s="13">
        <f>VLOOKUP(NBA_Teams_Data[[#This Row],[City ID]],All_Cities_WCS[#All],18,FALSE)</f>
        <v>100</v>
      </c>
      <c r="U4"/>
      <c r="X4"/>
    </row>
    <row r="5" spans="1:24">
      <c r="A5" s="23" t="s">
        <v>97</v>
      </c>
      <c r="B5" s="17" t="s">
        <v>98</v>
      </c>
      <c r="C5" s="17" t="s">
        <v>99</v>
      </c>
      <c r="D5" s="17">
        <f>VLOOKUP(NBA_Teams_Data[[#This Row],[Region]],Region_Lookup[],2)</f>
        <v>1</v>
      </c>
      <c r="E5" s="17" t="s">
        <v>74</v>
      </c>
      <c r="F5" s="24">
        <f>VLOOKUP(NBA_Teams_Data[[#This Row],[City Name]],USA_Metro_Population_Lookup[],2,FALSE)</f>
        <v>2883370</v>
      </c>
      <c r="G5" s="68">
        <f>VLOOKUP(NBA_Teams_Data[[#This Row],[City Name]],USA_Metro_Population_Lookup[], 3, FALSE)</f>
        <v>8.3800000000000008</v>
      </c>
      <c r="H5" s="50">
        <f>VLOOKUP(NBA_Teams_Data[[#This Row],[City Name]],Demographic_Data_Lookup12[#All], 2, FALSE)</f>
        <v>40.9</v>
      </c>
      <c r="I5" s="36">
        <f>VLOOKUP(NBA_Teams_Data[[#This Row],[City Name]], Income_Data_Lookup[#All], 2, FALSE)</f>
        <v>69588</v>
      </c>
      <c r="J5" s="17">
        <f>VLOOKUP(NBA_Teams_Data[[#This Row],[City Name]], Income_Data_Lookup[#All], 3, FALSE)</f>
        <v>73</v>
      </c>
      <c r="K5" s="17">
        <f>VLOOKUP(NBA_Teams_Data[[#This Row],[City Name]],Nielsen_TV_Market_Lookup[],2,FALSE)</f>
        <v>22</v>
      </c>
      <c r="L5" s="17">
        <f>VLOOKUP(NBA_Teams_Data[[#This Row],[City Name]],Google_Trend_Score[#All], 2, FALSE)</f>
        <v>52</v>
      </c>
      <c r="M5" s="17">
        <f>COUNTIF(Exsisting_Major_Sports_Teams_Lookup[City],NBA_Teams_Data[[#This Row],[City Name]])</f>
        <v>2</v>
      </c>
      <c r="N5" s="17" t="s">
        <v>100</v>
      </c>
      <c r="O5" s="24">
        <v>19077</v>
      </c>
      <c r="P5" s="17">
        <f>COUNTIF(Fortune_500_Companies_Lookup[City],NBA_Teams_Data[[#This Row],[City Name]])</f>
        <v>7</v>
      </c>
      <c r="Q5" s="73">
        <f>VLOOKUP(NBA_Teams_Data[[#This Row],[Team Name]],NBA_Team_Financial_Data_Lookup[],3,FALSE)</f>
        <v>3300000000</v>
      </c>
      <c r="R5" s="73">
        <f>VLOOKUP(NBA_Teams_Data[[#This Row],[Team Name]],NBA_Team_Financial_Data_Lookup[],5,FALSE)</f>
        <v>84000000</v>
      </c>
      <c r="S5" s="13">
        <f>VLOOKUP(NBA_Teams_Data[[#This Row],[City ID]],NBA_City_WCS[#All],18, FALSE)</f>
        <v>40.302731433645029</v>
      </c>
      <c r="T5" s="13">
        <f>VLOOKUP(NBA_Teams_Data[[#This Row],[City ID]],All_Cities_WCS[#All],18,FALSE)</f>
        <v>9.7222222222222232</v>
      </c>
      <c r="U5"/>
      <c r="X5"/>
    </row>
    <row r="6" spans="1:24">
      <c r="A6" s="23" t="s">
        <v>101</v>
      </c>
      <c r="B6" s="17" t="s">
        <v>102</v>
      </c>
      <c r="C6" s="17" t="s">
        <v>103</v>
      </c>
      <c r="D6" s="17">
        <f>VLOOKUP(NBA_Teams_Data[[#This Row],[Region]],Region_Lookup[],2)</f>
        <v>2</v>
      </c>
      <c r="E6" s="17" t="s">
        <v>33</v>
      </c>
      <c r="F6" s="24">
        <f>VLOOKUP(NBA_Teams_Data[[#This Row],[City Name]],USA_Metro_Population_Lookup[],2,FALSE)</f>
        <v>9408576</v>
      </c>
      <c r="G6" s="68">
        <f>VLOOKUP(NBA_Teams_Data[[#This Row],[City Name]],USA_Metro_Population_Lookup[], 3, FALSE)</f>
        <v>-0.43</v>
      </c>
      <c r="H6" s="50">
        <f>VLOOKUP(NBA_Teams_Data[[#This Row],[City Name]],Demographic_Data_Lookup12[#All], 2, FALSE)</f>
        <v>40.6</v>
      </c>
      <c r="I6" s="36">
        <f>VLOOKUP(NBA_Teams_Data[[#This Row],[City Name]], Income_Data_Lookup[#All], 2, FALSE)</f>
        <v>77429</v>
      </c>
      <c r="J6" s="17">
        <f>VLOOKUP(NBA_Teams_Data[[#This Row],[City Name]], Income_Data_Lookup[#All], 3, FALSE)</f>
        <v>37</v>
      </c>
      <c r="K6" s="17">
        <f>VLOOKUP(NBA_Teams_Data[[#This Row],[City Name]],Nielsen_TV_Market_Lookup[],2,FALSE)</f>
        <v>3</v>
      </c>
      <c r="L6" s="17">
        <f>VLOOKUP(NBA_Teams_Data[[#This Row],[City Name]],Google_Trend_Score[#All], 2, FALSE)</f>
        <v>65</v>
      </c>
      <c r="M6" s="17">
        <f>COUNTIF(Exsisting_Major_Sports_Teams_Lookup[City],NBA_Teams_Data[[#This Row],[City Name]])</f>
        <v>5</v>
      </c>
      <c r="N6" s="17" t="s">
        <v>104</v>
      </c>
      <c r="O6" s="24">
        <v>20917</v>
      </c>
      <c r="P6" s="17">
        <f>COUNTIF(Fortune_500_Companies_Lookup[City],NBA_Teams_Data[[#This Row],[City Name]])</f>
        <v>30</v>
      </c>
      <c r="Q6" s="73">
        <f>VLOOKUP(NBA_Teams_Data[[#This Row],[Team Name]],NBA_Team_Financial_Data_Lookup[],3,FALSE)</f>
        <v>5000000000</v>
      </c>
      <c r="R6" s="73">
        <f>VLOOKUP(NBA_Teams_Data[[#This Row],[Team Name]],NBA_Team_Financial_Data_Lookup[],5,FALSE)</f>
        <v>140000000</v>
      </c>
      <c r="S6" s="13">
        <f>VLOOKUP(NBA_Teams_Data[[#This Row],[City ID]],NBA_City_WCS[#All],18, FALSE)</f>
        <v>49.118161203278824</v>
      </c>
      <c r="T6" s="13">
        <f>VLOOKUP(NBA_Teams_Data[[#This Row],[City ID]],All_Cities_WCS[#All],18,FALSE)</f>
        <v>41.666666666666671</v>
      </c>
      <c r="U6"/>
      <c r="X6"/>
    </row>
    <row r="7" spans="1:24">
      <c r="A7" s="23" t="s">
        <v>105</v>
      </c>
      <c r="B7" s="17" t="s">
        <v>106</v>
      </c>
      <c r="C7" s="17" t="s">
        <v>107</v>
      </c>
      <c r="D7" s="17">
        <f>VLOOKUP(NBA_Teams_Data[[#This Row],[Region]],Region_Lookup[],2)</f>
        <v>2</v>
      </c>
      <c r="E7" s="17" t="s">
        <v>33</v>
      </c>
      <c r="F7" s="24">
        <f>VLOOKUP(NBA_Teams_Data[[#This Row],[City Name]],USA_Metro_Population_Lookup[],2,FALSE)</f>
        <v>2171877</v>
      </c>
      <c r="G7" s="68">
        <f>VLOOKUP(NBA_Teams_Data[[#This Row],[City Name]],USA_Metro_Population_Lookup[], 3, FALSE)</f>
        <v>-0.64</v>
      </c>
      <c r="H7" s="50">
        <f>VLOOKUP(NBA_Teams_Data[[#This Row],[City Name]],Demographic_Data_Lookup12[#All], 2, FALSE)</f>
        <v>37.200000000000003</v>
      </c>
      <c r="I7" s="36">
        <f>VLOOKUP(NBA_Teams_Data[[#This Row],[City Name]], Income_Data_Lookup[#All], 2, FALSE)</f>
        <v>67451</v>
      </c>
      <c r="J7" s="17">
        <f>VLOOKUP(NBA_Teams_Data[[#This Row],[City Name]], Income_Data_Lookup[#All], 3, FALSE)</f>
        <v>87</v>
      </c>
      <c r="K7" s="17">
        <f>VLOOKUP(NBA_Teams_Data[[#This Row],[City Name]],Nielsen_TV_Market_Lookup[],2,FALSE)</f>
        <v>20</v>
      </c>
      <c r="L7" s="17">
        <f>VLOOKUP(NBA_Teams_Data[[#This Row],[City Name]],Google_Trend_Score[#All], 2, FALSE)</f>
        <v>75</v>
      </c>
      <c r="M7" s="17">
        <f>COUNTIF(Exsisting_Major_Sports_Teams_Lookup[City],NBA_Teams_Data[[#This Row],[City Name]])</f>
        <v>3</v>
      </c>
      <c r="N7" s="17" t="s">
        <v>108</v>
      </c>
      <c r="O7" s="24">
        <v>19432</v>
      </c>
      <c r="P7" s="17">
        <f>COUNTIF(Fortune_500_Companies_Lookup[City],NBA_Teams_Data[[#This Row],[City Name]])</f>
        <v>9</v>
      </c>
      <c r="Q7" s="73">
        <f>VLOOKUP(NBA_Teams_Data[[#This Row],[Team Name]],NBA_Team_Financial_Data_Lookup[],3,FALSE)</f>
        <v>3950000000</v>
      </c>
      <c r="R7" s="73">
        <f>VLOOKUP(NBA_Teams_Data[[#This Row],[Team Name]],NBA_Team_Financial_Data_Lookup[],5,FALSE)</f>
        <v>97000000</v>
      </c>
      <c r="S7" s="13">
        <f>VLOOKUP(NBA_Teams_Data[[#This Row],[City ID]],NBA_City_WCS[#All],18, FALSE)</f>
        <v>31.313558688509225</v>
      </c>
      <c r="T7" s="13">
        <f>VLOOKUP(NBA_Teams_Data[[#This Row],[City ID]],All_Cities_WCS[#All],18,FALSE)</f>
        <v>12.5</v>
      </c>
      <c r="U7"/>
      <c r="X7"/>
    </row>
    <row r="8" spans="1:24">
      <c r="A8" s="23" t="s">
        <v>109</v>
      </c>
      <c r="B8" s="17" t="s">
        <v>110</v>
      </c>
      <c r="C8" s="17" t="s">
        <v>111</v>
      </c>
      <c r="D8" s="17">
        <f>VLOOKUP(NBA_Teams_Data[[#This Row],[Region]],Region_Lookup[],2)</f>
        <v>5</v>
      </c>
      <c r="E8" s="17" t="s">
        <v>28</v>
      </c>
      <c r="F8" s="24">
        <f>VLOOKUP(NBA_Teams_Data[[#This Row],[City Name]],USA_Metro_Population_Lookup[],2,FALSE)</f>
        <v>8344032</v>
      </c>
      <c r="G8" s="68">
        <f>VLOOKUP(NBA_Teams_Data[[#This Row],[City Name]],USA_Metro_Population_Lookup[], 3, FALSE)</f>
        <v>9.25</v>
      </c>
      <c r="H8" s="50">
        <f>VLOOKUP(NBA_Teams_Data[[#This Row],[City Name]],Demographic_Data_Lookup12[#All], 2, FALSE)</f>
        <v>43.2</v>
      </c>
      <c r="I8" s="36">
        <f>VLOOKUP(NBA_Teams_Data[[#This Row],[City Name]], Income_Data_Lookup[#All], 2, FALSE)</f>
        <v>74165</v>
      </c>
      <c r="J8" s="17">
        <f>VLOOKUP(NBA_Teams_Data[[#This Row],[City Name]], Income_Data_Lookup[#All], 3, FALSE)</f>
        <v>48</v>
      </c>
      <c r="K8" s="17">
        <f>VLOOKUP(NBA_Teams_Data[[#This Row],[City Name]],Nielsen_TV_Market_Lookup[],2,FALSE)</f>
        <v>4</v>
      </c>
      <c r="L8" s="17">
        <f>VLOOKUP(NBA_Teams_Data[[#This Row],[City Name]],Google_Trend_Score[#All], 2, FALSE)</f>
        <v>57</v>
      </c>
      <c r="M8" s="17">
        <f>COUNTIF(Exsisting_Major_Sports_Teams_Lookup[City],NBA_Teams_Data[[#This Row],[City Name]])</f>
        <v>4</v>
      </c>
      <c r="N8" s="17" t="s">
        <v>112</v>
      </c>
      <c r="O8" s="24">
        <v>19200</v>
      </c>
      <c r="P8" s="17">
        <f>COUNTIF(Fortune_500_Companies_Lookup[City],NBA_Teams_Data[[#This Row],[City Name]])</f>
        <v>21</v>
      </c>
      <c r="Q8" s="73">
        <f>VLOOKUP(NBA_Teams_Data[[#This Row],[Team Name]],NBA_Team_Financial_Data_Lookup[],3,FALSE)</f>
        <v>4700000000</v>
      </c>
      <c r="R8" s="73">
        <f>VLOOKUP(NBA_Teams_Data[[#This Row],[Team Name]],NBA_Team_Financial_Data_Lookup[],5,FALSE)</f>
        <v>158000000</v>
      </c>
      <c r="S8" s="13">
        <f>VLOOKUP(NBA_Teams_Data[[#This Row],[City ID]],NBA_City_WCS[#All],18, FALSE)</f>
        <v>57.389430995524364</v>
      </c>
      <c r="T8" s="13">
        <f>VLOOKUP(NBA_Teams_Data[[#This Row],[City ID]],All_Cities_WCS[#All],18,FALSE)</f>
        <v>29.166666666666668</v>
      </c>
      <c r="U8"/>
      <c r="X8"/>
    </row>
    <row r="9" spans="1:24">
      <c r="A9" s="23" t="s">
        <v>113</v>
      </c>
      <c r="B9" s="17" t="s">
        <v>114</v>
      </c>
      <c r="C9" s="17" t="s">
        <v>115</v>
      </c>
      <c r="D9" s="17">
        <f>VLOOKUP(NBA_Teams_Data[[#This Row],[Region]],Region_Lookup[],2)</f>
        <v>3</v>
      </c>
      <c r="E9" s="17" t="s">
        <v>43</v>
      </c>
      <c r="F9" s="24">
        <f>VLOOKUP(NBA_Teams_Data[[#This Row],[City Name]],USA_Metro_Population_Lookup[],2,FALSE)</f>
        <v>3052498</v>
      </c>
      <c r="G9" s="68">
        <f>VLOOKUP(NBA_Teams_Data[[#This Row],[City Name]],USA_Metro_Population_Lookup[], 3, FALSE)</f>
        <v>2.99</v>
      </c>
      <c r="H9" s="50">
        <f>VLOOKUP(NBA_Teams_Data[[#This Row],[City Name]],Demographic_Data_Lookup12[#All], 2, FALSE)</f>
        <v>44.7</v>
      </c>
      <c r="I9" s="36">
        <f>VLOOKUP(NBA_Teams_Data[[#This Row],[City Name]], Income_Data_Lookup[#All], 2, FALSE)</f>
        <v>89297</v>
      </c>
      <c r="J9" s="17">
        <f>VLOOKUP(NBA_Teams_Data[[#This Row],[City Name]], Income_Data_Lookup[#All], 3, FALSE)</f>
        <v>15</v>
      </c>
      <c r="K9" s="17">
        <f>VLOOKUP(NBA_Teams_Data[[#This Row],[City Name]],Nielsen_TV_Market_Lookup[],2,FALSE)</f>
        <v>18</v>
      </c>
      <c r="L9" s="17">
        <f>VLOOKUP(NBA_Teams_Data[[#This Row],[City Name]],Google_Trend_Score[#All], 2, FALSE)</f>
        <v>57</v>
      </c>
      <c r="M9" s="17">
        <f>COUNTIF(Exsisting_Major_Sports_Teams_Lookup[City],NBA_Teams_Data[[#This Row],[City Name]])</f>
        <v>4</v>
      </c>
      <c r="N9" s="17" t="s">
        <v>116</v>
      </c>
      <c r="O9" s="24">
        <v>19520</v>
      </c>
      <c r="P9" s="17">
        <f>COUNTIF(Fortune_500_Companies_Lookup[City],NBA_Teams_Data[[#This Row],[City Name]])</f>
        <v>8</v>
      </c>
      <c r="Q9" s="73">
        <f>VLOOKUP(NBA_Teams_Data[[#This Row],[Team Name]],NBA_Team_Financial_Data_Lookup[],3,FALSE)</f>
        <v>3900000000</v>
      </c>
      <c r="R9" s="73">
        <f>VLOOKUP(NBA_Teams_Data[[#This Row],[Team Name]],NBA_Team_Financial_Data_Lookup[],5,FALSE)</f>
        <v>57000000</v>
      </c>
      <c r="S9" s="13">
        <f>VLOOKUP(NBA_Teams_Data[[#This Row],[City ID]],NBA_City_WCS[#All],18, FALSE)</f>
        <v>45.491454975243002</v>
      </c>
      <c r="T9" s="13">
        <f>VLOOKUP(NBA_Teams_Data[[#This Row],[City ID]],All_Cities_WCS[#All],18,FALSE)</f>
        <v>11.111111111111111</v>
      </c>
      <c r="U9"/>
      <c r="X9"/>
    </row>
    <row r="10" spans="1:24">
      <c r="A10" s="23" t="s">
        <v>117</v>
      </c>
      <c r="B10" s="17" t="s">
        <v>118</v>
      </c>
      <c r="C10" s="17" t="s">
        <v>119</v>
      </c>
      <c r="D10" s="17">
        <f>VLOOKUP(NBA_Teams_Data[[#This Row],[Region]],Region_Lookup[],2)</f>
        <v>2</v>
      </c>
      <c r="E10" s="17" t="s">
        <v>33</v>
      </c>
      <c r="F10" s="24">
        <f>VLOOKUP(NBA_Teams_Data[[#This Row],[City Name]],USA_Metro_Population_Lookup[],2,FALSE)</f>
        <v>4400578</v>
      </c>
      <c r="G10" s="68">
        <f>VLOOKUP(NBA_Teams_Data[[#This Row],[City Name]],USA_Metro_Population_Lookup[], 3, FALSE)</f>
        <v>0.19</v>
      </c>
      <c r="H10" s="50">
        <f>VLOOKUP(NBA_Teams_Data[[#This Row],[City Name]],Demographic_Data_Lookup12[#All], 2, FALSE)</f>
        <v>37.9</v>
      </c>
      <c r="I10" s="36">
        <f>VLOOKUP(NBA_Teams_Data[[#This Row],[City Name]], Income_Data_Lookup[#All], 2, FALSE)</f>
        <v>66098</v>
      </c>
      <c r="J10" s="17">
        <f>VLOOKUP(NBA_Teams_Data[[#This Row],[City Name]], Income_Data_Lookup[#All], 3, FALSE)</f>
        <v>98</v>
      </c>
      <c r="K10" s="17">
        <f>VLOOKUP(NBA_Teams_Data[[#This Row],[City Name]],Nielsen_TV_Market_Lookup[],2,FALSE)</f>
        <v>15</v>
      </c>
      <c r="L10" s="17">
        <f>VLOOKUP(NBA_Teams_Data[[#This Row],[City Name]],Google_Trend_Score[#All], 2, FALSE)</f>
        <v>58</v>
      </c>
      <c r="M10" s="17">
        <f>COUNTIF(Exsisting_Major_Sports_Teams_Lookup[City],NBA_Teams_Data[[#This Row],[City Name]])</f>
        <v>4</v>
      </c>
      <c r="N10" s="17" t="s">
        <v>120</v>
      </c>
      <c r="O10" s="24">
        <v>20332</v>
      </c>
      <c r="P10" s="17">
        <f>COUNTIF(Fortune_500_Companies_Lookup[City],NBA_Teams_Data[[#This Row],[City Name]])</f>
        <v>9</v>
      </c>
      <c r="Q10" s="73">
        <f>VLOOKUP(NBA_Teams_Data[[#This Row],[Team Name]],NBA_Team_Financial_Data_Lookup[],3,FALSE)</f>
        <v>3400000000</v>
      </c>
      <c r="R10" s="73">
        <f>VLOOKUP(NBA_Teams_Data[[#This Row],[Team Name]],NBA_Team_Financial_Data_Lookup[],5,FALSE)</f>
        <v>89000000</v>
      </c>
      <c r="S10" s="13">
        <f>VLOOKUP(NBA_Teams_Data[[#This Row],[City ID]],NBA_City_WCS[#All],18, FALSE)</f>
        <v>31.948357869154197</v>
      </c>
      <c r="T10" s="13">
        <f>VLOOKUP(NBA_Teams_Data[[#This Row],[City ID]],All_Cities_WCS[#All],18,FALSE)</f>
        <v>12.5</v>
      </c>
      <c r="U10"/>
      <c r="X10"/>
    </row>
    <row r="11" spans="1:24">
      <c r="A11" s="23" t="s">
        <v>121</v>
      </c>
      <c r="B11" s="17" t="s">
        <v>122</v>
      </c>
      <c r="C11" s="17" t="s">
        <v>123</v>
      </c>
      <c r="D11" s="17">
        <f>VLOOKUP(NBA_Teams_Data[[#This Row],[Region]],Region_Lookup[],2)</f>
        <v>4</v>
      </c>
      <c r="E11" s="17" t="s">
        <v>23</v>
      </c>
      <c r="F11" s="24">
        <f>VLOOKUP(NBA_Teams_Data[[#This Row],[City Name]],USA_Metro_Population_Lookup[],2,FALSE)</f>
        <v>6643970</v>
      </c>
      <c r="G11" s="68">
        <f>VLOOKUP(NBA_Teams_Data[[#This Row],[City Name]],USA_Metro_Population_Lookup[], 3, FALSE)</f>
        <v>-2.12</v>
      </c>
      <c r="H11" s="50">
        <f>VLOOKUP(NBA_Teams_Data[[#This Row],[City Name]],Demographic_Data_Lookup12[#All], 2, FALSE)</f>
        <v>40.700000000000003</v>
      </c>
      <c r="I11" s="36">
        <f>VLOOKUP(NBA_Teams_Data[[#This Row],[City Name]], Income_Data_Lookup[#All], 2, FALSE)</f>
        <v>130730</v>
      </c>
      <c r="J11" s="17">
        <f>VLOOKUP(NBA_Teams_Data[[#This Row],[City Name]], Income_Data_Lookup[#All], 3, FALSE)</f>
        <v>5</v>
      </c>
      <c r="K11" s="17">
        <f>VLOOKUP(NBA_Teams_Data[[#This Row],[City Name]],Nielsen_TV_Market_Lookup[],2,FALSE)</f>
        <v>11</v>
      </c>
      <c r="L11" s="17">
        <f>VLOOKUP(NBA_Teams_Data[[#This Row],[City Name]],Google_Trend_Score[#All], 2, FALSE)</f>
        <v>81</v>
      </c>
      <c r="M11" s="17">
        <f>COUNTIF(Exsisting_Major_Sports_Teams_Lookup[City],NBA_Teams_Data[[#This Row],[City Name]])</f>
        <v>4</v>
      </c>
      <c r="N11" s="17" t="s">
        <v>124</v>
      </c>
      <c r="O11" s="24">
        <v>18064</v>
      </c>
      <c r="P11" s="17">
        <f>COUNTIF(Fortune_500_Companies_Lookup[City],NBA_Teams_Data[[#This Row],[City Name]])</f>
        <v>41</v>
      </c>
      <c r="Q11" s="73">
        <f>VLOOKUP(NBA_Teams_Data[[#This Row],[Team Name]],NBA_Team_Financial_Data_Lookup[],3,FALSE)</f>
        <v>8800000000</v>
      </c>
      <c r="R11" s="73">
        <f>VLOOKUP(NBA_Teams_Data[[#This Row],[Team Name]],NBA_Team_Financial_Data_Lookup[],5,FALSE)</f>
        <v>142000000</v>
      </c>
      <c r="S11" s="13">
        <f>VLOOKUP(NBA_Teams_Data[[#This Row],[City ID]],NBA_City_WCS[#All],18, FALSE)</f>
        <v>59.308324582574258</v>
      </c>
      <c r="T11" s="13">
        <f>VLOOKUP(NBA_Teams_Data[[#This Row],[City ID]],All_Cities_WCS[#All],18,FALSE)</f>
        <v>56.944444444444443</v>
      </c>
      <c r="U11"/>
      <c r="X11"/>
    </row>
    <row r="12" spans="1:24">
      <c r="A12" s="23" t="s">
        <v>125</v>
      </c>
      <c r="B12" s="17" t="s">
        <v>126</v>
      </c>
      <c r="C12" s="17" t="s">
        <v>127</v>
      </c>
      <c r="D12" s="17">
        <f>VLOOKUP(NBA_Teams_Data[[#This Row],[Region]],Region_Lookup[],2)</f>
        <v>5</v>
      </c>
      <c r="E12" s="17" t="s">
        <v>28</v>
      </c>
      <c r="F12" s="24">
        <f>VLOOKUP(NBA_Teams_Data[[#This Row],[City Name]],USA_Metro_Population_Lookup[],2,FALSE)</f>
        <v>7796182</v>
      </c>
      <c r="G12" s="68">
        <f>VLOOKUP(NBA_Teams_Data[[#This Row],[City Name]],USA_Metro_Population_Lookup[], 3, FALSE)</f>
        <v>9.0399999999999991</v>
      </c>
      <c r="H12" s="50">
        <f>VLOOKUP(NBA_Teams_Data[[#This Row],[City Name]],Demographic_Data_Lookup12[#All], 2, FALSE)</f>
        <v>42.6</v>
      </c>
      <c r="I12" s="36">
        <f>VLOOKUP(NBA_Teams_Data[[#This Row],[City Name]], Income_Data_Lookup[#All], 2, FALSE)</f>
        <v>72453</v>
      </c>
      <c r="J12" s="17">
        <f>VLOOKUP(NBA_Teams_Data[[#This Row],[City Name]], Income_Data_Lookup[#All], 3, FALSE)</f>
        <v>54</v>
      </c>
      <c r="K12" s="17">
        <f>VLOOKUP(NBA_Teams_Data[[#This Row],[City Name]],Nielsen_TV_Market_Lookup[],2,FALSE)</f>
        <v>6</v>
      </c>
      <c r="L12" s="17">
        <f>VLOOKUP(NBA_Teams_Data[[#This Row],[City Name]],Google_Trend_Score[#All], 2, FALSE)</f>
        <v>54</v>
      </c>
      <c r="M12" s="17">
        <f>COUNTIF(Exsisting_Major_Sports_Teams_Lookup[City],NBA_Teams_Data[[#This Row],[City Name]])</f>
        <v>3</v>
      </c>
      <c r="N12" s="17" t="s">
        <v>128</v>
      </c>
      <c r="O12" s="24">
        <v>18055</v>
      </c>
      <c r="P12" s="17">
        <f>COUNTIF(Fortune_500_Companies_Lookup[City],NBA_Teams_Data[[#This Row],[City Name]])</f>
        <v>26</v>
      </c>
      <c r="Q12" s="73">
        <f>VLOOKUP(NBA_Teams_Data[[#This Row],[Team Name]],NBA_Team_Financial_Data_Lookup[],3,FALSE)</f>
        <v>4900000000</v>
      </c>
      <c r="R12" s="73">
        <f>VLOOKUP(NBA_Teams_Data[[#This Row],[Team Name]],NBA_Team_Financial_Data_Lookup[],5,FALSE)</f>
        <v>160000000</v>
      </c>
      <c r="S12" s="13">
        <f>VLOOKUP(NBA_Teams_Data[[#This Row],[City ID]],NBA_City_WCS[#All],18, FALSE)</f>
        <v>55.084696009491552</v>
      </c>
      <c r="T12" s="13">
        <f>VLOOKUP(NBA_Teams_Data[[#This Row],[City ID]],All_Cities_WCS[#All],18,FALSE)</f>
        <v>36.111111111111107</v>
      </c>
      <c r="U12"/>
      <c r="X12"/>
    </row>
    <row r="13" spans="1:24">
      <c r="A13" s="23" t="s">
        <v>129</v>
      </c>
      <c r="B13" s="17" t="s">
        <v>130</v>
      </c>
      <c r="C13" s="17" t="s">
        <v>131</v>
      </c>
      <c r="D13" s="17">
        <f>VLOOKUP(NBA_Teams_Data[[#This Row],[Region]],Region_Lookup[],2)</f>
        <v>2</v>
      </c>
      <c r="E13" s="17" t="s">
        <v>33</v>
      </c>
      <c r="F13" s="24">
        <f>VLOOKUP(NBA_Teams_Data[[#This Row],[City Name]],USA_Metro_Population_Lookup[],2,FALSE)</f>
        <v>2174833</v>
      </c>
      <c r="G13" s="68">
        <f>VLOOKUP(NBA_Teams_Data[[#This Row],[City Name]],USA_Metro_Population_Lookup[], 3, FALSE)</f>
        <v>4.08</v>
      </c>
      <c r="H13" s="50">
        <f>VLOOKUP(NBA_Teams_Data[[#This Row],[City Name]],Demographic_Data_Lookup12[#All], 2, FALSE)</f>
        <v>41</v>
      </c>
      <c r="I13" s="36">
        <f>VLOOKUP(NBA_Teams_Data[[#This Row],[City Name]], Income_Data_Lookup[#All], 2, FALSE)</f>
        <v>72494</v>
      </c>
      <c r="J13" s="17">
        <f>VLOOKUP(NBA_Teams_Data[[#This Row],[City Name]], Income_Data_Lookup[#All], 3, FALSE)</f>
        <v>53</v>
      </c>
      <c r="K13" s="17">
        <f>VLOOKUP(NBA_Teams_Data[[#This Row],[City Name]],Nielsen_TV_Market_Lookup[],2,FALSE)</f>
        <v>26</v>
      </c>
      <c r="L13" s="17">
        <f>VLOOKUP(NBA_Teams_Data[[#This Row],[City Name]],Google_Trend_Score[#All], 2, FALSE)</f>
        <v>65</v>
      </c>
      <c r="M13" s="17">
        <f>COUNTIF(Exsisting_Major_Sports_Teams_Lookup[City],NBA_Teams_Data[[#This Row],[City Name]])</f>
        <v>2</v>
      </c>
      <c r="N13" s="17" t="s">
        <v>132</v>
      </c>
      <c r="O13" s="24">
        <v>17923</v>
      </c>
      <c r="P13" s="17">
        <f>COUNTIF(Fortune_500_Companies_Lookup[City],NBA_Teams_Data[[#This Row],[City Name]])</f>
        <v>3</v>
      </c>
      <c r="Q13" s="73">
        <f>VLOOKUP(NBA_Teams_Data[[#This Row],[Team Name]],NBA_Team_Financial_Data_Lookup[],3,FALSE)</f>
        <v>3600000000</v>
      </c>
      <c r="R13" s="73">
        <f>VLOOKUP(NBA_Teams_Data[[#This Row],[Team Name]],NBA_Team_Financial_Data_Lookup[],5,FALSE)</f>
        <v>94000000</v>
      </c>
      <c r="S13" s="13">
        <f>VLOOKUP(NBA_Teams_Data[[#This Row],[City ID]],NBA_City_WCS[#All],18, FALSE)</f>
        <v>37.515391284534054</v>
      </c>
      <c r="T13" s="13">
        <f>VLOOKUP(NBA_Teams_Data[[#This Row],[City ID]],All_Cities_WCS[#All],18,FALSE)</f>
        <v>4.1666666666666661</v>
      </c>
      <c r="U13"/>
      <c r="X13"/>
    </row>
    <row r="14" spans="1:24">
      <c r="A14" s="23" t="s">
        <v>133</v>
      </c>
      <c r="B14" s="17" t="s">
        <v>134</v>
      </c>
      <c r="C14" s="17" t="s">
        <v>135</v>
      </c>
      <c r="D14" s="17">
        <f>VLOOKUP(NBA_Teams_Data[[#This Row],[Region]],Region_Lookup[],2)</f>
        <v>4</v>
      </c>
      <c r="E14" s="17" t="s">
        <v>23</v>
      </c>
      <c r="F14" s="24">
        <f>VLOOKUP(NBA_Teams_Data[[#This Row],[City Name]],USA_Metro_Population_Lookup[],2,FALSE)</f>
        <v>17671828</v>
      </c>
      <c r="G14" s="68">
        <f>VLOOKUP(NBA_Teams_Data[[#This Row],[City Name]],USA_Metro_Population_Lookup[], 3, FALSE)</f>
        <v>-2.0699999999999998</v>
      </c>
      <c r="H14" s="50">
        <f>VLOOKUP(NBA_Teams_Data[[#This Row],[City Name]],Demographic_Data_Lookup12[#All], 2, FALSE)</f>
        <v>41.8</v>
      </c>
      <c r="I14" s="36">
        <f>VLOOKUP(NBA_Teams_Data[[#This Row],[City Name]], Income_Data_Lookup[#All], 2, FALSE)</f>
        <v>80898</v>
      </c>
      <c r="J14" s="17">
        <f>VLOOKUP(NBA_Teams_Data[[#This Row],[City Name]], Income_Data_Lookup[#All], 3, FALSE)</f>
        <v>24</v>
      </c>
      <c r="K14" s="17">
        <f>VLOOKUP(NBA_Teams_Data[[#This Row],[City Name]],Nielsen_TV_Market_Lookup[],2,FALSE)</f>
        <v>2</v>
      </c>
      <c r="L14" s="17">
        <f>VLOOKUP(NBA_Teams_Data[[#This Row],[City Name]],Google_Trend_Score[#All], 2, FALSE)</f>
        <v>64</v>
      </c>
      <c r="M14" s="17">
        <f>COUNTIF(Exsisting_Major_Sports_Teams_Lookup[City],NBA_Teams_Data[[#This Row],[City Name]])</f>
        <v>8</v>
      </c>
      <c r="N14" s="17" t="s">
        <v>136</v>
      </c>
      <c r="O14" s="24">
        <v>18000</v>
      </c>
      <c r="P14" s="17">
        <f>COUNTIF(Fortune_500_Companies_Lookup[City],NBA_Teams_Data[[#This Row],[City Name]])</f>
        <v>13</v>
      </c>
      <c r="Q14" s="73">
        <f>VLOOKUP(NBA_Teams_Data[[#This Row],[Team Name]],NBA_Team_Financial_Data_Lookup[],3,FALSE)</f>
        <v>5500000000</v>
      </c>
      <c r="R14" s="73">
        <f>VLOOKUP(NBA_Teams_Data[[#This Row],[Team Name]],NBA_Team_Financial_Data_Lookup[],5,FALSE)</f>
        <v>96000000</v>
      </c>
      <c r="S14" s="13">
        <f>VLOOKUP(NBA_Teams_Data[[#This Row],[City ID]],NBA_City_WCS[#All],18, FALSE)</f>
        <v>55.826468909724554</v>
      </c>
      <c r="T14" s="13">
        <f>VLOOKUP(NBA_Teams_Data[[#This Row],[City ID]],All_Cities_WCS[#All],18,FALSE)</f>
        <v>18.055555555555554</v>
      </c>
      <c r="U14"/>
      <c r="X14"/>
    </row>
    <row r="15" spans="1:24">
      <c r="A15" s="23" t="s">
        <v>137</v>
      </c>
      <c r="B15" s="17" t="s">
        <v>134</v>
      </c>
      <c r="C15" s="17" t="s">
        <v>138</v>
      </c>
      <c r="D15" s="17">
        <f>VLOOKUP(NBA_Teams_Data[[#This Row],[Region]],Region_Lookup[],2)</f>
        <v>4</v>
      </c>
      <c r="E15" s="17" t="s">
        <v>23</v>
      </c>
      <c r="F15" s="24">
        <f>VLOOKUP(NBA_Teams_Data[[#This Row],[City Name]],USA_Metro_Population_Lookup[],2,FALSE)</f>
        <v>17671828</v>
      </c>
      <c r="G15" s="68">
        <f>VLOOKUP(NBA_Teams_Data[[#This Row],[City Name]],USA_Metro_Population_Lookup[], 3, FALSE)</f>
        <v>-2.0699999999999998</v>
      </c>
      <c r="H15" s="50">
        <f>VLOOKUP(NBA_Teams_Data[[#This Row],[City Name]],Demographic_Data_Lookup12[#All], 2, FALSE)</f>
        <v>41.8</v>
      </c>
      <c r="I15" s="36">
        <f>VLOOKUP(NBA_Teams_Data[[#This Row],[City Name]], Income_Data_Lookup[#All], 2, FALSE)</f>
        <v>80898</v>
      </c>
      <c r="J15" s="17">
        <f>VLOOKUP(NBA_Teams_Data[[#This Row],[City Name]], Income_Data_Lookup[#All], 3, FALSE)</f>
        <v>24</v>
      </c>
      <c r="K15" s="17">
        <f>VLOOKUP(NBA_Teams_Data[[#This Row],[City Name]],Nielsen_TV_Market_Lookup[],2,FALSE)</f>
        <v>2</v>
      </c>
      <c r="L15" s="17">
        <f>VLOOKUP(NBA_Teams_Data[[#This Row],[City Name]],Google_Trend_Score[#All], 2, FALSE)</f>
        <v>64</v>
      </c>
      <c r="M15" s="17">
        <f>COUNTIF(Exsisting_Major_Sports_Teams_Lookup[City],NBA_Teams_Data[[#This Row],[City Name]])</f>
        <v>8</v>
      </c>
      <c r="N15" s="17" t="s">
        <v>139</v>
      </c>
      <c r="O15" s="24">
        <v>19079</v>
      </c>
      <c r="P15" s="17">
        <f>COUNTIF(Fortune_500_Companies_Lookup[City],NBA_Teams_Data[[#This Row],[City Name]])</f>
        <v>13</v>
      </c>
      <c r="Q15" s="73">
        <f>VLOOKUP(NBA_Teams_Data[[#This Row],[Team Name]],NBA_Team_Financial_Data_Lookup[],3,FALSE)</f>
        <v>7100000000</v>
      </c>
      <c r="R15" s="73">
        <f>VLOOKUP(NBA_Teams_Data[[#This Row],[Team Name]],NBA_Team_Financial_Data_Lookup[],5,FALSE)</f>
        <v>199000000</v>
      </c>
      <c r="S15" s="13">
        <f>VLOOKUP(NBA_Teams_Data[[#This Row],[City ID]],NBA_City_WCS[#All],18, FALSE)</f>
        <v>55.826468909724554</v>
      </c>
      <c r="T15" s="13">
        <f>VLOOKUP(NBA_Teams_Data[[#This Row],[City ID]],All_Cities_WCS[#All],18,FALSE)</f>
        <v>18.055555555555554</v>
      </c>
      <c r="U15"/>
      <c r="X15"/>
    </row>
    <row r="16" spans="1:24">
      <c r="A16" s="23" t="s">
        <v>140</v>
      </c>
      <c r="B16" s="17" t="s">
        <v>141</v>
      </c>
      <c r="C16" s="17" t="s">
        <v>142</v>
      </c>
      <c r="D16" s="17">
        <f>VLOOKUP(NBA_Teams_Data[[#This Row],[Region]],Region_Lookup[],2)</f>
        <v>5</v>
      </c>
      <c r="E16" s="17" t="s">
        <v>28</v>
      </c>
      <c r="F16" s="24">
        <f>VLOOKUP(NBA_Teams_Data[[#This Row],[City Name]],USA_Metro_Population_Lookup[],2,FALSE)</f>
        <v>1339345</v>
      </c>
      <c r="G16" s="68">
        <f>VLOOKUP(NBA_Teams_Data[[#This Row],[City Name]],USA_Metro_Population_Lookup[], 3, FALSE)</f>
        <v>-0.45</v>
      </c>
      <c r="H16" s="50">
        <f>VLOOKUP(NBA_Teams_Data[[#This Row],[City Name]],Demographic_Data_Lookup12[#All], 2, FALSE)</f>
        <v>40.200000000000003</v>
      </c>
      <c r="I16" s="36">
        <f>VLOOKUP(NBA_Teams_Data[[#This Row],[City Name]], Income_Data_Lookup[#All], 2, FALSE)</f>
        <v>60083</v>
      </c>
      <c r="J16" s="17">
        <f>VLOOKUP(NBA_Teams_Data[[#This Row],[City Name]], Income_Data_Lookup[#All], 3, FALSE)</f>
        <v>172</v>
      </c>
      <c r="K16" s="17">
        <f>VLOOKUP(NBA_Teams_Data[[#This Row],[City Name]],Nielsen_TV_Market_Lookup[],2,FALSE)</f>
        <v>52</v>
      </c>
      <c r="L16" s="17">
        <f>VLOOKUP(NBA_Teams_Data[[#This Row],[City Name]],Google_Trend_Score[#All], 2, FALSE)</f>
        <v>78</v>
      </c>
      <c r="M16" s="17">
        <f>COUNTIF(Exsisting_Major_Sports_Teams_Lookup[City],NBA_Teams_Data[[#This Row],[City Name]])</f>
        <v>1</v>
      </c>
      <c r="N16" s="17" t="s">
        <v>143</v>
      </c>
      <c r="O16" s="24">
        <v>18119</v>
      </c>
      <c r="P16" s="17">
        <f>COUNTIF(Fortune_500_Companies_Lookup[City],NBA_Teams_Data[[#This Row],[City Name]])</f>
        <v>3</v>
      </c>
      <c r="Q16" s="73">
        <f>VLOOKUP(NBA_Teams_Data[[#This Row],[Team Name]],NBA_Team_Financial_Data_Lookup[],3,FALSE)</f>
        <v>3000000000</v>
      </c>
      <c r="R16" s="73">
        <f>VLOOKUP(NBA_Teams_Data[[#This Row],[Team Name]],NBA_Team_Financial_Data_Lookup[],5,FALSE)</f>
        <v>44000000</v>
      </c>
      <c r="S16" s="13">
        <f>VLOOKUP(NBA_Teams_Data[[#This Row],[City ID]],NBA_City_WCS[#All],18, FALSE)</f>
        <v>26.366807040662447</v>
      </c>
      <c r="T16" s="13">
        <f>VLOOKUP(NBA_Teams_Data[[#This Row],[City ID]],All_Cities_WCS[#All],18,FALSE)</f>
        <v>4.1666666666666661</v>
      </c>
      <c r="U16"/>
      <c r="X16"/>
    </row>
    <row r="17" spans="1:24">
      <c r="A17" s="23" t="s">
        <v>144</v>
      </c>
      <c r="B17" s="17" t="s">
        <v>145</v>
      </c>
      <c r="C17" s="17" t="s">
        <v>146</v>
      </c>
      <c r="D17" s="17">
        <f>VLOOKUP(NBA_Teams_Data[[#This Row],[Region]],Region_Lookup[],2)</f>
        <v>5</v>
      </c>
      <c r="E17" s="17" t="s">
        <v>28</v>
      </c>
      <c r="F17" s="24">
        <f>VLOOKUP(NBA_Teams_Data[[#This Row],[City Name]],USA_Metro_Population_Lookup[],2,FALSE)</f>
        <v>6457988</v>
      </c>
      <c r="G17" s="68">
        <f>VLOOKUP(NBA_Teams_Data[[#This Row],[City Name]],USA_Metro_Population_Lookup[], 3, FALSE)</f>
        <v>5.21</v>
      </c>
      <c r="H17" s="50">
        <f>VLOOKUP(NBA_Teams_Data[[#This Row],[City Name]],Demographic_Data_Lookup12[#All], 2, FALSE)</f>
        <v>37.299999999999997</v>
      </c>
      <c r="I17" s="36">
        <f>VLOOKUP(NBA_Teams_Data[[#This Row],[City Name]], Income_Data_Lookup[#All], 2, FALSE)</f>
        <v>84302</v>
      </c>
      <c r="J17" s="17">
        <f>VLOOKUP(NBA_Teams_Data[[#This Row],[City Name]], Income_Data_Lookup[#All], 3, FALSE)</f>
        <v>19</v>
      </c>
      <c r="K17" s="17">
        <f>VLOOKUP(NBA_Teams_Data[[#This Row],[City Name]],Nielsen_TV_Market_Lookup[],2,FALSE)</f>
        <v>19</v>
      </c>
      <c r="L17" s="17">
        <f>VLOOKUP(NBA_Teams_Data[[#This Row],[City Name]],Google_Trend_Score[#All], 2, FALSE)</f>
        <v>64</v>
      </c>
      <c r="M17" s="17">
        <f>COUNTIF(Exsisting_Major_Sports_Teams_Lookup[City],NBA_Teams_Data[[#This Row],[City Name]])</f>
        <v>4</v>
      </c>
      <c r="N17" s="17" t="s">
        <v>147</v>
      </c>
      <c r="O17" s="24">
        <v>19600</v>
      </c>
      <c r="P17" s="17">
        <f>COUNTIF(Fortune_500_Companies_Lookup[City],NBA_Teams_Data[[#This Row],[City Name]])</f>
        <v>10</v>
      </c>
      <c r="Q17" s="73">
        <f>VLOOKUP(NBA_Teams_Data[[#This Row],[Team Name]],NBA_Team_Financial_Data_Lookup[],3,FALSE)</f>
        <v>4250000000</v>
      </c>
      <c r="R17" s="73">
        <f>VLOOKUP(NBA_Teams_Data[[#This Row],[Team Name]],NBA_Team_Financial_Data_Lookup[],5,FALSE)</f>
        <v>62000000</v>
      </c>
      <c r="S17" s="13">
        <f>VLOOKUP(NBA_Teams_Data[[#This Row],[City ID]],NBA_City_WCS[#All],18, FALSE)</f>
        <v>43.299028602911022</v>
      </c>
      <c r="T17" s="13">
        <f>VLOOKUP(NBA_Teams_Data[[#This Row],[City ID]],All_Cities_WCS[#All],18,FALSE)</f>
        <v>13.888888888888889</v>
      </c>
      <c r="U17"/>
      <c r="X17"/>
    </row>
    <row r="18" spans="1:24">
      <c r="A18" s="23" t="s">
        <v>148</v>
      </c>
      <c r="B18" s="17" t="s">
        <v>149</v>
      </c>
      <c r="C18" s="17" t="s">
        <v>150</v>
      </c>
      <c r="D18" s="17">
        <f>VLOOKUP(NBA_Teams_Data[[#This Row],[Region]],Region_Lookup[],2)</f>
        <v>2</v>
      </c>
      <c r="E18" s="17" t="s">
        <v>33</v>
      </c>
      <c r="F18" s="24">
        <f>VLOOKUP(NBA_Teams_Data[[#This Row],[City Name]],USA_Metro_Population_Lookup[],2,FALSE)</f>
        <v>1574452</v>
      </c>
      <c r="G18" s="68">
        <f>VLOOKUP(NBA_Teams_Data[[#This Row],[City Name]],USA_Metro_Population_Lookup[], 3, FALSE)</f>
        <v>-0.02</v>
      </c>
      <c r="H18" s="50">
        <f>VLOOKUP(NBA_Teams_Data[[#This Row],[City Name]],Demographic_Data_Lookup12[#All], 2, FALSE)</f>
        <v>39.700000000000003</v>
      </c>
      <c r="I18" s="36">
        <f>VLOOKUP(NBA_Teams_Data[[#This Row],[City Name]], Income_Data_Lookup[#All], 2, FALSE)</f>
        <v>72316</v>
      </c>
      <c r="J18" s="17">
        <f>VLOOKUP(NBA_Teams_Data[[#This Row],[City Name]], Income_Data_Lookup[#All], 3, FALSE)</f>
        <v>55</v>
      </c>
      <c r="K18" s="17">
        <f>VLOOKUP(NBA_Teams_Data[[#This Row],[City Name]],Nielsen_TV_Market_Lookup[],2,FALSE)</f>
        <v>39</v>
      </c>
      <c r="L18" s="17">
        <f>VLOOKUP(NBA_Teams_Data[[#This Row],[City Name]],Google_Trend_Score[#All], 2, FALSE)</f>
        <v>70</v>
      </c>
      <c r="M18" s="17">
        <f>COUNTIF(Exsisting_Major_Sports_Teams_Lookup[City],NBA_Teams_Data[[#This Row],[City Name]])</f>
        <v>2</v>
      </c>
      <c r="N18" s="17" t="s">
        <v>151</v>
      </c>
      <c r="O18" s="24">
        <v>17341</v>
      </c>
      <c r="P18" s="17">
        <f>COUNTIF(Fortune_500_Companies_Lookup[City],NBA_Teams_Data[[#This Row],[City Name]])</f>
        <v>6</v>
      </c>
      <c r="Q18" s="73">
        <f>VLOOKUP(NBA_Teams_Data[[#This Row],[Team Name]],NBA_Team_Financial_Data_Lookup[],3,FALSE)</f>
        <v>4000000000</v>
      </c>
      <c r="R18" s="73">
        <f>VLOOKUP(NBA_Teams_Data[[#This Row],[Team Name]],NBA_Team_Financial_Data_Lookup[],5,FALSE)</f>
        <v>-16000000</v>
      </c>
      <c r="S18" s="13">
        <f>VLOOKUP(NBA_Teams_Data[[#This Row],[City ID]],NBA_City_WCS[#All],18, FALSE)</f>
        <v>29.992845112978817</v>
      </c>
      <c r="T18" s="13">
        <f>VLOOKUP(NBA_Teams_Data[[#This Row],[City ID]],All_Cities_WCS[#All],18,FALSE)</f>
        <v>8.3333333333333321</v>
      </c>
      <c r="U18"/>
      <c r="X18"/>
    </row>
    <row r="19" spans="1:24">
      <c r="A19" s="23" t="s">
        <v>152</v>
      </c>
      <c r="B19" s="17" t="s">
        <v>153</v>
      </c>
      <c r="C19" s="17" t="s">
        <v>154</v>
      </c>
      <c r="D19" s="17">
        <f>VLOOKUP(NBA_Teams_Data[[#This Row],[Region]],Region_Lookup[],2)</f>
        <v>2</v>
      </c>
      <c r="E19" s="17" t="s">
        <v>33</v>
      </c>
      <c r="F19" s="24">
        <f>VLOOKUP(NBA_Teams_Data[[#This Row],[City Name]],USA_Metro_Population_Lookup[],2,FALSE)</f>
        <v>3757952</v>
      </c>
      <c r="G19" s="68">
        <f>VLOOKUP(NBA_Teams_Data[[#This Row],[City Name]],USA_Metro_Population_Lookup[], 3, FALSE)</f>
        <v>1.83</v>
      </c>
      <c r="H19" s="50">
        <f>VLOOKUP(NBA_Teams_Data[[#This Row],[City Name]],Demographic_Data_Lookup12[#All], 2, FALSE)</f>
        <v>40.5</v>
      </c>
      <c r="I19" s="36">
        <f>VLOOKUP(NBA_Teams_Data[[#This Row],[City Name]], Income_Data_Lookup[#All], 2, FALSE)</f>
        <v>79654</v>
      </c>
      <c r="J19" s="17">
        <f>VLOOKUP(NBA_Teams_Data[[#This Row],[City Name]], Income_Data_Lookup[#All], 3, FALSE)</f>
        <v>27</v>
      </c>
      <c r="K19" s="17">
        <f>VLOOKUP(NBA_Teams_Data[[#This Row],[City Name]],Nielsen_TV_Market_Lookup[],2,FALSE)</f>
        <v>17</v>
      </c>
      <c r="L19" s="17">
        <f>VLOOKUP(NBA_Teams_Data[[#This Row],[City Name]],Google_Trend_Score[#All], 2, FALSE)</f>
        <v>68</v>
      </c>
      <c r="M19" s="17">
        <f>COUNTIF(Exsisting_Major_Sports_Teams_Lookup[City],NBA_Teams_Data[[#This Row],[City Name]])</f>
        <v>4</v>
      </c>
      <c r="N19" s="17" t="s">
        <v>155</v>
      </c>
      <c r="O19" s="24">
        <v>18798</v>
      </c>
      <c r="P19" s="17">
        <f>COUNTIF(Fortune_500_Companies_Lookup[City],NBA_Teams_Data[[#This Row],[City Name]])</f>
        <v>15</v>
      </c>
      <c r="Q19" s="73">
        <f>VLOOKUP(NBA_Teams_Data[[#This Row],[Team Name]],NBA_Team_Financial_Data_Lookup[],3,FALSE)</f>
        <v>3100000000</v>
      </c>
      <c r="R19" s="73">
        <f>VLOOKUP(NBA_Teams_Data[[#This Row],[Team Name]],NBA_Team_Financial_Data_Lookup[],5,FALSE)</f>
        <v>72000000</v>
      </c>
      <c r="S19" s="13">
        <f>VLOOKUP(NBA_Teams_Data[[#This Row],[City ID]],NBA_City_WCS[#All],18, FALSE)</f>
        <v>41.81194951793956</v>
      </c>
      <c r="T19" s="13">
        <f>VLOOKUP(NBA_Teams_Data[[#This Row],[City ID]],All_Cities_WCS[#All],18,FALSE)</f>
        <v>20.833333333333336</v>
      </c>
      <c r="U19"/>
      <c r="X19"/>
    </row>
    <row r="20" spans="1:24">
      <c r="A20" s="23" t="s">
        <v>156</v>
      </c>
      <c r="B20" s="17" t="s">
        <v>157</v>
      </c>
      <c r="C20" s="17" t="s">
        <v>158</v>
      </c>
      <c r="D20" s="17">
        <f>VLOOKUP(NBA_Teams_Data[[#This Row],[Region]],Region_Lookup[],2)</f>
        <v>5</v>
      </c>
      <c r="E20" s="17" t="s">
        <v>28</v>
      </c>
      <c r="F20" s="24">
        <f>VLOOKUP(NBA_Teams_Data[[#This Row],[City Name]],USA_Metro_Population_Lookup[],2,FALSE)</f>
        <v>966230</v>
      </c>
      <c r="G20" s="68">
        <f>VLOOKUP(NBA_Teams_Data[[#This Row],[City Name]],USA_Metro_Population_Lookup[], 3, FALSE)</f>
        <v>-4.07</v>
      </c>
      <c r="H20" s="50">
        <f>VLOOKUP(NBA_Teams_Data[[#This Row],[City Name]],Demographic_Data_Lookup12[#All], 2, FALSE)</f>
        <v>39</v>
      </c>
      <c r="I20" s="36">
        <f>VLOOKUP(NBA_Teams_Data[[#This Row],[City Name]], Income_Data_Lookup[#All], 2, FALSE)</f>
        <v>66588</v>
      </c>
      <c r="J20" s="17">
        <f>VLOOKUP(NBA_Teams_Data[[#This Row],[City Name]], Income_Data_Lookup[#All], 3, FALSE)</f>
        <v>92</v>
      </c>
      <c r="K20" s="17">
        <f>VLOOKUP(NBA_Teams_Data[[#This Row],[City Name]],Nielsen_TV_Market_Lookup[],2,FALSE)</f>
        <v>51</v>
      </c>
      <c r="L20" s="17">
        <f>VLOOKUP(NBA_Teams_Data[[#This Row],[City Name]],Google_Trend_Score[#All], 2, FALSE)</f>
        <v>51</v>
      </c>
      <c r="M20" s="17">
        <f>COUNTIF(Exsisting_Major_Sports_Teams_Lookup[City],NBA_Teams_Data[[#This Row],[City Name]])</f>
        <v>2</v>
      </c>
      <c r="N20" s="17" t="s">
        <v>159</v>
      </c>
      <c r="O20" s="24">
        <v>16867</v>
      </c>
      <c r="P20" s="17">
        <f>COUNTIF(Fortune_500_Companies_Lookup[City],NBA_Teams_Data[[#This Row],[City Name]])</f>
        <v>1</v>
      </c>
      <c r="Q20" s="73">
        <f>VLOOKUP(NBA_Teams_Data[[#This Row],[Team Name]],NBA_Team_Financial_Data_Lookup[],3,FALSE)</f>
        <v>3050000000</v>
      </c>
      <c r="R20" s="73">
        <f>VLOOKUP(NBA_Teams_Data[[#This Row],[Team Name]],NBA_Team_Financial_Data_Lookup[],5,FALSE)</f>
        <v>41000000</v>
      </c>
      <c r="S20" s="13">
        <f>VLOOKUP(NBA_Teams_Data[[#This Row],[City ID]],NBA_City_WCS[#All],18, FALSE)</f>
        <v>15.331986774675912</v>
      </c>
      <c r="T20" s="13">
        <f>VLOOKUP(NBA_Teams_Data[[#This Row],[City ID]],All_Cities_WCS[#All],18,FALSE)</f>
        <v>1.3888888888888888</v>
      </c>
      <c r="U20"/>
      <c r="X20"/>
    </row>
    <row r="21" spans="1:24">
      <c r="A21" s="23" t="s">
        <v>160</v>
      </c>
      <c r="B21" s="17" t="s">
        <v>94</v>
      </c>
      <c r="C21" s="17" t="s">
        <v>161</v>
      </c>
      <c r="D21" s="17">
        <f>VLOOKUP(NBA_Teams_Data[[#This Row],[Region]],Region_Lookup[],2)</f>
        <v>1</v>
      </c>
      <c r="E21" s="17" t="s">
        <v>74</v>
      </c>
      <c r="F21" s="24">
        <f>VLOOKUP(NBA_Teams_Data[[#This Row],[City Name]],USA_Metro_Population_Lookup[],2,FALSE)</f>
        <v>19940274</v>
      </c>
      <c r="G21" s="68">
        <f>VLOOKUP(NBA_Teams_Data[[#This Row],[City Name]],USA_Metro_Population_Lookup[], 3, FALSE)</f>
        <v>-0.71</v>
      </c>
      <c r="H21" s="50">
        <f>VLOOKUP(NBA_Teams_Data[[#This Row],[City Name]],Demographic_Data_Lookup12[#All], 2, FALSE)</f>
        <v>39.5</v>
      </c>
      <c r="I21" s="36">
        <f>VLOOKUP(NBA_Teams_Data[[#This Row],[City Name]], Income_Data_Lookup[#All], 2, FALSE)</f>
        <v>91448</v>
      </c>
      <c r="J21" s="17">
        <f>VLOOKUP(NBA_Teams_Data[[#This Row],[City Name]], Income_Data_Lookup[#All], 3, FALSE)</f>
        <v>12</v>
      </c>
      <c r="K21" s="17">
        <f>VLOOKUP(NBA_Teams_Data[[#This Row],[City Name]],Nielsen_TV_Market_Lookup[],2,FALSE)</f>
        <v>1</v>
      </c>
      <c r="L21" s="17">
        <f>VLOOKUP(NBA_Teams_Data[[#This Row],[City Name]],Google_Trend_Score[#All], 2, FALSE)</f>
        <v>62</v>
      </c>
      <c r="M21" s="17">
        <f>COUNTIF(Exsisting_Major_Sports_Teams_Lookup[City],NBA_Teams_Data[[#This Row],[City Name]])</f>
        <v>9</v>
      </c>
      <c r="N21" s="17" t="s">
        <v>162</v>
      </c>
      <c r="O21" s="24">
        <v>19812</v>
      </c>
      <c r="P21" s="17">
        <f>COUNTIF(Fortune_500_Companies_Lookup[City],NBA_Teams_Data[[#This Row],[City Name]])</f>
        <v>72</v>
      </c>
      <c r="Q21" s="73">
        <f>VLOOKUP(NBA_Teams_Data[[#This Row],[Team Name]],NBA_Team_Financial_Data_Lookup[],3,FALSE)</f>
        <v>7500000000</v>
      </c>
      <c r="R21" s="73">
        <f>VLOOKUP(NBA_Teams_Data[[#This Row],[Team Name]],NBA_Team_Financial_Data_Lookup[],5,FALSE)</f>
        <v>182000000</v>
      </c>
      <c r="S21" s="13">
        <f>VLOOKUP(NBA_Teams_Data[[#This Row],[City ID]],NBA_City_WCS[#All],18, FALSE)</f>
        <v>66.962578110667721</v>
      </c>
      <c r="T21" s="13">
        <f>VLOOKUP(NBA_Teams_Data[[#This Row],[City ID]],All_Cities_WCS[#All],18,FALSE)</f>
        <v>100</v>
      </c>
      <c r="U21"/>
      <c r="X21"/>
    </row>
    <row r="22" spans="1:24">
      <c r="A22" s="23" t="s">
        <v>163</v>
      </c>
      <c r="B22" s="17" t="s">
        <v>164</v>
      </c>
      <c r="C22" s="17" t="s">
        <v>165</v>
      </c>
      <c r="D22" s="17">
        <f>VLOOKUP(NBA_Teams_Data[[#This Row],[Region]],Region_Lookup[],2)</f>
        <v>3</v>
      </c>
      <c r="E22" s="17" t="s">
        <v>43</v>
      </c>
      <c r="F22" s="24">
        <f>VLOOKUP(NBA_Teams_Data[[#This Row],[City Name]],USA_Metro_Population_Lookup[],2,FALSE)</f>
        <v>1497821</v>
      </c>
      <c r="G22" s="68">
        <f>VLOOKUP(NBA_Teams_Data[[#This Row],[City Name]],USA_Metro_Population_Lookup[], 3, FALSE)</f>
        <v>5.0599999999999996</v>
      </c>
      <c r="H22" s="50">
        <f>VLOOKUP(NBA_Teams_Data[[#This Row],[City Name]],Demographic_Data_Lookup12[#All], 2, FALSE)</f>
        <v>42.7</v>
      </c>
      <c r="I22" s="36">
        <f>VLOOKUP(NBA_Teams_Data[[#This Row],[City Name]], Income_Data_Lookup[#All], 2, FALSE)</f>
        <v>64468</v>
      </c>
      <c r="J22" s="17">
        <f>VLOOKUP(NBA_Teams_Data[[#This Row],[City Name]], Income_Data_Lookup[#All], 3, FALSE)</f>
        <v>113</v>
      </c>
      <c r="K22" s="17">
        <f>VLOOKUP(NBA_Teams_Data[[#This Row],[City Name]],Nielsen_TV_Market_Lookup[],2,FALSE)</f>
        <v>48</v>
      </c>
      <c r="L22" s="17">
        <f>VLOOKUP(NBA_Teams_Data[[#This Row],[City Name]],Google_Trend_Score[#All], 2, FALSE)</f>
        <v>78</v>
      </c>
      <c r="M22" s="17">
        <f>COUNTIF(Exsisting_Major_Sports_Teams_Lookup[City],NBA_Teams_Data[[#This Row],[City Name]])</f>
        <v>1</v>
      </c>
      <c r="N22" s="17" t="s">
        <v>166</v>
      </c>
      <c r="O22" s="24">
        <v>18203</v>
      </c>
      <c r="P22" s="17">
        <f>COUNTIF(Fortune_500_Companies_Lookup[City],NBA_Teams_Data[[#This Row],[City Name]])</f>
        <v>1</v>
      </c>
      <c r="Q22" s="73">
        <f>VLOOKUP(NBA_Teams_Data[[#This Row],[Team Name]],NBA_Team_Financial_Data_Lookup[],3,FALSE)</f>
        <v>3650000000</v>
      </c>
      <c r="R22" s="73">
        <f>VLOOKUP(NBA_Teams_Data[[#This Row],[Team Name]],NBA_Team_Financial_Data_Lookup[],5,FALSE)</f>
        <v>90000000</v>
      </c>
      <c r="S22" s="13">
        <f>VLOOKUP(NBA_Teams_Data[[#This Row],[City ID]],NBA_City_WCS[#All],18, FALSE)</f>
        <v>36.829613471301094</v>
      </c>
      <c r="T22" s="13">
        <f>VLOOKUP(NBA_Teams_Data[[#This Row],[City ID]],All_Cities_WCS[#All],18,FALSE)</f>
        <v>1.3888888888888888</v>
      </c>
      <c r="U22"/>
      <c r="X22"/>
    </row>
    <row r="23" spans="1:24">
      <c r="A23" s="23" t="s">
        <v>167</v>
      </c>
      <c r="B23" s="17" t="s">
        <v>168</v>
      </c>
      <c r="C23" s="17" t="s">
        <v>169</v>
      </c>
      <c r="D23" s="17">
        <f>VLOOKUP(NBA_Teams_Data[[#This Row],[Region]],Region_Lookup[],2)</f>
        <v>5</v>
      </c>
      <c r="E23" s="17" t="s">
        <v>28</v>
      </c>
      <c r="F23" s="24">
        <f>VLOOKUP(NBA_Teams_Data[[#This Row],[City Name]],USA_Metro_Population_Lookup[],2,FALSE)</f>
        <v>2940513</v>
      </c>
      <c r="G23" s="68">
        <f>VLOOKUP(NBA_Teams_Data[[#This Row],[City Name]],USA_Metro_Population_Lookup[], 3, FALSE)</f>
        <v>9.99</v>
      </c>
      <c r="H23" s="50">
        <f>VLOOKUP(NBA_Teams_Data[[#This Row],[City Name]],Demographic_Data_Lookup12[#All], 2, FALSE)</f>
        <v>41.9</v>
      </c>
      <c r="I23" s="36">
        <f>VLOOKUP(NBA_Teams_Data[[#This Row],[City Name]], Income_Data_Lookup[#All], 2, FALSE)</f>
        <v>57774</v>
      </c>
      <c r="J23" s="17">
        <f>VLOOKUP(NBA_Teams_Data[[#This Row],[City Name]], Income_Data_Lookup[#All], 3, FALSE)</f>
        <v>206</v>
      </c>
      <c r="K23" s="17">
        <f>VLOOKUP(NBA_Teams_Data[[#This Row],[City Name]],Nielsen_TV_Market_Lookup[],2,FALSE)</f>
        <v>16</v>
      </c>
      <c r="L23" s="17">
        <f>VLOOKUP(NBA_Teams_Data[[#This Row],[City Name]],Google_Trend_Score[#All], 2, FALSE)</f>
        <v>54</v>
      </c>
      <c r="M23" s="17">
        <f>COUNTIF(Exsisting_Major_Sports_Teams_Lookup[City],NBA_Teams_Data[[#This Row],[City Name]])</f>
        <v>1</v>
      </c>
      <c r="N23" s="17" t="s">
        <v>170</v>
      </c>
      <c r="O23" s="24">
        <v>18846</v>
      </c>
      <c r="P23" s="17">
        <f>COUNTIF(Fortune_500_Companies_Lookup[City],NBA_Teams_Data[[#This Row],[City Name]])</f>
        <v>1</v>
      </c>
      <c r="Q23" s="73">
        <f>VLOOKUP(NBA_Teams_Data[[#This Row],[Team Name]],NBA_Team_Financial_Data_Lookup[],3,FALSE)</f>
        <v>3200000000</v>
      </c>
      <c r="R23" s="73">
        <f>VLOOKUP(NBA_Teams_Data[[#This Row],[Team Name]],NBA_Team_Financial_Data_Lookup[],5,FALSE)</f>
        <v>82000000</v>
      </c>
      <c r="S23" s="13">
        <f>VLOOKUP(NBA_Teams_Data[[#This Row],[City ID]],NBA_City_WCS[#All],18, FALSE)</f>
        <v>41.694834167104304</v>
      </c>
      <c r="T23" s="13">
        <f>VLOOKUP(NBA_Teams_Data[[#This Row],[City ID]],All_Cities_WCS[#All],18,FALSE)</f>
        <v>1.3888888888888888</v>
      </c>
      <c r="U23"/>
      <c r="X23"/>
    </row>
    <row r="24" spans="1:24">
      <c r="A24" s="23" t="s">
        <v>171</v>
      </c>
      <c r="B24" s="17" t="s">
        <v>172</v>
      </c>
      <c r="C24" s="17" t="s">
        <v>173</v>
      </c>
      <c r="D24" s="17">
        <f>VLOOKUP(NBA_Teams_Data[[#This Row],[Region]],Region_Lookup[],2)</f>
        <v>1</v>
      </c>
      <c r="E24" s="17" t="s">
        <v>74</v>
      </c>
      <c r="F24" s="24">
        <f>VLOOKUP(NBA_Teams_Data[[#This Row],[City Name]],USA_Metro_Population_Lookup[],2,FALSE)</f>
        <v>6330422</v>
      </c>
      <c r="G24" s="68">
        <f>VLOOKUP(NBA_Teams_Data[[#This Row],[City Name]],USA_Metro_Population_Lookup[], 3, FALSE)</f>
        <v>1.37</v>
      </c>
      <c r="H24" s="50">
        <f>VLOOKUP(NBA_Teams_Data[[#This Row],[City Name]],Demographic_Data_Lookup12[#All], 2, FALSE)</f>
        <v>39.9</v>
      </c>
      <c r="I24" s="36">
        <f>VLOOKUP(NBA_Teams_Data[[#This Row],[City Name]], Income_Data_Lookup[#All], 2, FALSE)</f>
        <v>78761</v>
      </c>
      <c r="J24" s="17">
        <f>VLOOKUP(NBA_Teams_Data[[#This Row],[City Name]], Income_Data_Lookup[#All], 3, FALSE)</f>
        <v>31</v>
      </c>
      <c r="K24" s="17">
        <f>VLOOKUP(NBA_Teams_Data[[#This Row],[City Name]],Nielsen_TV_Market_Lookup[],2,FALSE)</f>
        <v>5</v>
      </c>
      <c r="L24" s="17">
        <f>VLOOKUP(NBA_Teams_Data[[#This Row],[City Name]],Google_Trend_Score[#All], 2, FALSE)</f>
        <v>57</v>
      </c>
      <c r="M24" s="17">
        <f>COUNTIF(Exsisting_Major_Sports_Teams_Lookup[City],NBA_Teams_Data[[#This Row],[City Name]])</f>
        <v>4</v>
      </c>
      <c r="N24" s="17" t="s">
        <v>174</v>
      </c>
      <c r="O24" s="24">
        <v>20478</v>
      </c>
      <c r="P24" s="17">
        <f>COUNTIF(Fortune_500_Companies_Lookup[City],NBA_Teams_Data[[#This Row],[City Name]])</f>
        <v>9</v>
      </c>
      <c r="Q24" s="73">
        <f>VLOOKUP(NBA_Teams_Data[[#This Row],[Team Name]],NBA_Team_Financial_Data_Lookup[],3,FALSE)</f>
        <v>4600000000</v>
      </c>
      <c r="R24" s="73">
        <f>VLOOKUP(NBA_Teams_Data[[#This Row],[Team Name]],NBA_Team_Financial_Data_Lookup[],5,FALSE)</f>
        <v>120000000</v>
      </c>
      <c r="S24" s="13">
        <f>VLOOKUP(NBA_Teams_Data[[#This Row],[City ID]],NBA_City_WCS[#All],18, FALSE)</f>
        <v>41.963513184705917</v>
      </c>
      <c r="T24" s="13">
        <f>VLOOKUP(NBA_Teams_Data[[#This Row],[City ID]],All_Cities_WCS[#All],18,FALSE)</f>
        <v>12.5</v>
      </c>
      <c r="U24"/>
      <c r="X24"/>
    </row>
    <row r="25" spans="1:24">
      <c r="A25" s="23" t="s">
        <v>175</v>
      </c>
      <c r="B25" s="17" t="s">
        <v>176</v>
      </c>
      <c r="C25" s="17" t="s">
        <v>177</v>
      </c>
      <c r="D25" s="17">
        <f>VLOOKUP(NBA_Teams_Data[[#This Row],[Region]],Region_Lookup[],2)</f>
        <v>4</v>
      </c>
      <c r="E25" s="17" t="s">
        <v>23</v>
      </c>
      <c r="F25" s="24">
        <f>VLOOKUP(NBA_Teams_Data[[#This Row],[City Name]],USA_Metro_Population_Lookup[],2,FALSE)</f>
        <v>5186958</v>
      </c>
      <c r="G25" s="68">
        <f>VLOOKUP(NBA_Teams_Data[[#This Row],[City Name]],USA_Metro_Population_Lookup[], 3, FALSE)</f>
        <v>7.04</v>
      </c>
      <c r="H25" s="50">
        <f>VLOOKUP(NBA_Teams_Data[[#This Row],[City Name]],Demographic_Data_Lookup12[#All], 2, FALSE)</f>
        <v>41.2</v>
      </c>
      <c r="I25" s="36">
        <f>VLOOKUP(NBA_Teams_Data[[#This Row],[City Name]], Income_Data_Lookup[#All], 2, FALSE)</f>
        <v>66365</v>
      </c>
      <c r="J25" s="17">
        <f>VLOOKUP(NBA_Teams_Data[[#This Row],[City Name]], Income_Data_Lookup[#All], 3, FALSE)</f>
        <v>96</v>
      </c>
      <c r="K25" s="17">
        <f>VLOOKUP(NBA_Teams_Data[[#This Row],[City Name]],Nielsen_TV_Market_Lookup[],2,FALSE)</f>
        <v>13</v>
      </c>
      <c r="L25" s="17">
        <f>VLOOKUP(NBA_Teams_Data[[#This Row],[City Name]],Google_Trend_Score[#All], 2, FALSE)</f>
        <v>59</v>
      </c>
      <c r="M25" s="17">
        <f>COUNTIF(Exsisting_Major_Sports_Teams_Lookup[City],NBA_Teams_Data[[#This Row],[City Name]])</f>
        <v>3</v>
      </c>
      <c r="N25" s="17" t="s">
        <v>178</v>
      </c>
      <c r="O25" s="24">
        <v>16645</v>
      </c>
      <c r="P25" s="17">
        <f>COUNTIF(Fortune_500_Companies_Lookup[City],NBA_Teams_Data[[#This Row],[City Name]])</f>
        <v>9</v>
      </c>
      <c r="Q25" s="73">
        <f>VLOOKUP(NBA_Teams_Data[[#This Row],[Team Name]],NBA_Team_Financial_Data_Lookup[],3,FALSE)</f>
        <v>4300000000</v>
      </c>
      <c r="R25" s="73">
        <f>VLOOKUP(NBA_Teams_Data[[#This Row],[Team Name]],NBA_Team_Financial_Data_Lookup[],5,FALSE)</f>
        <v>-14000000</v>
      </c>
      <c r="S25" s="13">
        <f>VLOOKUP(NBA_Teams_Data[[#This Row],[City ID]],NBA_City_WCS[#All],18, FALSE)</f>
        <v>44.751914752691818</v>
      </c>
      <c r="T25" s="13">
        <f>VLOOKUP(NBA_Teams_Data[[#This Row],[City ID]],All_Cities_WCS[#All],18,FALSE)</f>
        <v>12.5</v>
      </c>
      <c r="U25"/>
      <c r="X25"/>
    </row>
    <row r="26" spans="1:24">
      <c r="A26" s="23" t="s">
        <v>179</v>
      </c>
      <c r="B26" s="17" t="s">
        <v>180</v>
      </c>
      <c r="C26" s="17" t="s">
        <v>181</v>
      </c>
      <c r="D26" s="17">
        <f>VLOOKUP(NBA_Teams_Data[[#This Row],[Region]],Region_Lookup[],2)</f>
        <v>4</v>
      </c>
      <c r="E26" s="17" t="s">
        <v>23</v>
      </c>
      <c r="F26" s="24">
        <f>VLOOKUP(NBA_Teams_Data[[#This Row],[City Name]],USA_Metro_Population_Lookup[],2,FALSE)</f>
        <v>2537904</v>
      </c>
      <c r="G26" s="68">
        <f>VLOOKUP(NBA_Teams_Data[[#This Row],[City Name]],USA_Metro_Population_Lookup[], 3, FALSE)</f>
        <v>1</v>
      </c>
      <c r="H26" s="50">
        <f>VLOOKUP(NBA_Teams_Data[[#This Row],[City Name]],Demographic_Data_Lookup12[#All], 2, FALSE)</f>
        <v>42.1</v>
      </c>
      <c r="I26" s="36">
        <f>VLOOKUP(NBA_Teams_Data[[#This Row],[City Name]], Income_Data_Lookup[#All], 2, FALSE)</f>
        <v>74992</v>
      </c>
      <c r="J26" s="17">
        <f>VLOOKUP(NBA_Teams_Data[[#This Row],[City Name]], Income_Data_Lookup[#All], 3, FALSE)</f>
        <v>46</v>
      </c>
      <c r="K26" s="17">
        <f>VLOOKUP(NBA_Teams_Data[[#This Row],[City Name]],Nielsen_TV_Market_Lookup[],2,FALSE)</f>
        <v>24</v>
      </c>
      <c r="L26" s="17">
        <f>VLOOKUP(NBA_Teams_Data[[#This Row],[City Name]],Google_Trend_Score[#All], 2, FALSE)</f>
        <v>51</v>
      </c>
      <c r="M26" s="17">
        <f>COUNTIF(Exsisting_Major_Sports_Teams_Lookup[City],NBA_Teams_Data[[#This Row],[City Name]])</f>
        <v>1</v>
      </c>
      <c r="N26" s="17" t="s">
        <v>182</v>
      </c>
      <c r="O26" s="24">
        <v>19393</v>
      </c>
      <c r="P26" s="17">
        <f>COUNTIF(Fortune_500_Companies_Lookup[City],NBA_Teams_Data[[#This Row],[City Name]])</f>
        <v>1</v>
      </c>
      <c r="Q26" s="73">
        <f>VLOOKUP(NBA_Teams_Data[[#This Row],[Team Name]],NBA_Team_Financial_Data_Lookup[],3,FALSE)</f>
        <v>3500000000</v>
      </c>
      <c r="R26" s="73">
        <f>VLOOKUP(NBA_Teams_Data[[#This Row],[Team Name]],NBA_Team_Financial_Data_Lookup[],5,FALSE)</f>
        <v>81000000</v>
      </c>
      <c r="S26" s="13">
        <f>VLOOKUP(NBA_Teams_Data[[#This Row],[City ID]],NBA_City_WCS[#All],18, FALSE)</f>
        <v>33.149240890648258</v>
      </c>
      <c r="T26" s="13">
        <f>VLOOKUP(NBA_Teams_Data[[#This Row],[City ID]],All_Cities_WCS[#All],18,FALSE)</f>
        <v>1.3888888888888888</v>
      </c>
      <c r="U26"/>
      <c r="X26"/>
    </row>
    <row r="27" spans="1:24">
      <c r="A27" s="23" t="s">
        <v>183</v>
      </c>
      <c r="B27" s="17" t="s">
        <v>184</v>
      </c>
      <c r="C27" s="17" t="s">
        <v>185</v>
      </c>
      <c r="D27" s="17">
        <f>VLOOKUP(NBA_Teams_Data[[#This Row],[Region]],Region_Lookup[],2)</f>
        <v>4</v>
      </c>
      <c r="E27" s="17" t="s">
        <v>23</v>
      </c>
      <c r="F27" s="24">
        <f>VLOOKUP(NBA_Teams_Data[[#This Row],[City Name]],USA_Metro_Population_Lookup[],2,FALSE)</f>
        <v>2463127</v>
      </c>
      <c r="G27" s="68">
        <f>VLOOKUP(NBA_Teams_Data[[#This Row],[City Name]],USA_Metro_Population_Lookup[], 3, FALSE)</f>
        <v>2.74</v>
      </c>
      <c r="H27" s="50">
        <f>VLOOKUP(NBA_Teams_Data[[#This Row],[City Name]],Demographic_Data_Lookup12[#All], 2, FALSE)</f>
        <v>40.9</v>
      </c>
      <c r="I27" s="36">
        <f>VLOOKUP(NBA_Teams_Data[[#This Row],[City Name]], Income_Data_Lookup[#All], 2, FALSE)</f>
        <v>70418</v>
      </c>
      <c r="J27" s="17">
        <f>VLOOKUP(NBA_Teams_Data[[#This Row],[City Name]], Income_Data_Lookup[#All], 3, FALSE)</f>
        <v>64</v>
      </c>
      <c r="K27" s="17">
        <f>VLOOKUP(NBA_Teams_Data[[#This Row],[City Name]],Nielsen_TV_Market_Lookup[],2,FALSE)</f>
        <v>21</v>
      </c>
      <c r="L27" s="17">
        <f>VLOOKUP(NBA_Teams_Data[[#This Row],[City Name]],Google_Trend_Score[#All], 2, FALSE)</f>
        <v>88</v>
      </c>
      <c r="M27" s="17">
        <f>COUNTIF(Exsisting_Major_Sports_Teams_Lookup[City],NBA_Teams_Data[[#This Row],[City Name]])</f>
        <v>1</v>
      </c>
      <c r="N27" s="17" t="s">
        <v>186</v>
      </c>
      <c r="O27" s="24">
        <v>17608</v>
      </c>
      <c r="P27" s="17">
        <f>COUNTIF(Fortune_500_Companies_Lookup[City],NBA_Teams_Data[[#This Row],[City Name]])</f>
        <v>0</v>
      </c>
      <c r="Q27" s="73">
        <f>VLOOKUP(NBA_Teams_Data[[#This Row],[Team Name]],NBA_Team_Financial_Data_Lookup[],3,FALSE)</f>
        <v>3700000000</v>
      </c>
      <c r="R27" s="73">
        <f>VLOOKUP(NBA_Teams_Data[[#This Row],[Team Name]],NBA_Team_Financial_Data_Lookup[],5,FALSE)</f>
        <v>54000000</v>
      </c>
      <c r="S27" s="13">
        <f>VLOOKUP(NBA_Teams_Data[[#This Row],[City ID]],NBA_City_WCS[#All],18, FALSE)</f>
        <v>42.017165680950271</v>
      </c>
      <c r="T27" s="13">
        <f>VLOOKUP(NBA_Teams_Data[[#This Row],[City ID]],All_Cities_WCS[#All],18,FALSE)</f>
        <v>0</v>
      </c>
      <c r="U27"/>
      <c r="X27"/>
    </row>
    <row r="28" spans="1:24">
      <c r="A28" s="23" t="s">
        <v>187</v>
      </c>
      <c r="B28" s="17" t="s">
        <v>188</v>
      </c>
      <c r="C28" s="17" t="s">
        <v>189</v>
      </c>
      <c r="D28" s="17">
        <f>VLOOKUP(NBA_Teams_Data[[#This Row],[Region]],Region_Lookup[],2)</f>
        <v>5</v>
      </c>
      <c r="E28" s="17" t="s">
        <v>28</v>
      </c>
      <c r="F28" s="24">
        <f>VLOOKUP(NBA_Teams_Data[[#This Row],[City Name]],USA_Metro_Population_Lookup[],2,FALSE)</f>
        <v>2763006</v>
      </c>
      <c r="G28" s="68">
        <f>VLOOKUP(NBA_Teams_Data[[#This Row],[City Name]],USA_Metro_Population_Lookup[], 3, FALSE)</f>
        <v>8.01</v>
      </c>
      <c r="H28" s="50">
        <f>VLOOKUP(NBA_Teams_Data[[#This Row],[City Name]],Demographic_Data_Lookup12[#All], 2, FALSE)</f>
        <v>42.9</v>
      </c>
      <c r="I28" s="36">
        <f>VLOOKUP(NBA_Teams_Data[[#This Row],[City Name]], Income_Data_Lookup[#All], 2, FALSE)</f>
        <v>59477</v>
      </c>
      <c r="J28" s="17">
        <f>VLOOKUP(NBA_Teams_Data[[#This Row],[City Name]], Income_Data_Lookup[#All], 3, FALSE)</f>
        <v>180</v>
      </c>
      <c r="K28" s="17">
        <f>VLOOKUP(NBA_Teams_Data[[#This Row],[City Name]],Nielsen_TV_Market_Lookup[],2,FALSE)</f>
        <v>32</v>
      </c>
      <c r="L28" s="17">
        <f>VLOOKUP(NBA_Teams_Data[[#This Row],[City Name]],Google_Trend_Score[#All], 2, FALSE)</f>
        <v>62</v>
      </c>
      <c r="M28" s="17">
        <f>COUNTIF(Exsisting_Major_Sports_Teams_Lookup[City],NBA_Teams_Data[[#This Row],[City Name]])</f>
        <v>1</v>
      </c>
      <c r="N28" s="17" t="s">
        <v>190</v>
      </c>
      <c r="O28" s="24">
        <v>18418</v>
      </c>
      <c r="P28" s="17">
        <f>COUNTIF(Fortune_500_Companies_Lookup[City],NBA_Teams_Data[[#This Row],[City Name]])</f>
        <v>3</v>
      </c>
      <c r="Q28" s="73">
        <f>VLOOKUP(NBA_Teams_Data[[#This Row],[Team Name]],NBA_Team_Financial_Data_Lookup[],3,FALSE)</f>
        <v>3850000000</v>
      </c>
      <c r="R28" s="73">
        <f>VLOOKUP(NBA_Teams_Data[[#This Row],[Team Name]],NBA_Team_Financial_Data_Lookup[],5,FALSE)</f>
        <v>118000000</v>
      </c>
      <c r="S28" s="13">
        <f>VLOOKUP(NBA_Teams_Data[[#This Row],[City ID]],NBA_City_WCS[#All],18, FALSE)</f>
        <v>40.04098123428205</v>
      </c>
      <c r="T28" s="13">
        <f>VLOOKUP(NBA_Teams_Data[[#This Row],[City ID]],All_Cities_WCS[#All],18,FALSE)</f>
        <v>4.1666666666666661</v>
      </c>
      <c r="U28"/>
      <c r="X28"/>
    </row>
    <row r="29" spans="1:24">
      <c r="A29" s="23" t="s">
        <v>191</v>
      </c>
      <c r="B29" s="17" t="s">
        <v>192</v>
      </c>
      <c r="C29" s="17" t="s">
        <v>193</v>
      </c>
      <c r="D29" s="17">
        <f>VLOOKUP(NBA_Teams_Data[[#This Row],[Region]],Region_Lookup[],2)</f>
        <v>2</v>
      </c>
      <c r="E29" s="17" t="s">
        <v>33</v>
      </c>
      <c r="F29" s="24">
        <f>VLOOKUP(NBA_Teams_Data[[#This Row],[City Name]],USA_Metro_Population_Lookup[],2,FALSE)</f>
        <v>7106379</v>
      </c>
      <c r="G29" s="68">
        <f>VLOOKUP(NBA_Teams_Data[[#This Row],[City Name]],USA_Metro_Population_Lookup[], 3, FALSE)</f>
        <v>4.74</v>
      </c>
      <c r="H29" s="50">
        <f>VLOOKUP(NBA_Teams_Data[[#This Row],[City Name]],Demographic_Data_Lookup12[#All], 2, FALSE)</f>
        <v>43.3</v>
      </c>
      <c r="I29" s="36">
        <f>VLOOKUP(NBA_Teams_Data[[#This Row],[City Name]], Income_Data_Lookup[#All], 2, FALSE)</f>
        <v>57549</v>
      </c>
      <c r="J29" s="37">
        <f>VLOOKUP(NBA_Teams_Data[[#This Row],[City Name]], Income_Data_Lookup[#All], 3, FALSE)</f>
        <v>210.82142857142901</v>
      </c>
      <c r="K29" s="17">
        <f>VLOOKUP(NBA_Teams_Data[[#This Row],[City Name]],Nielsen_TV_Market_Lookup[],2,FALSE)</f>
        <v>8</v>
      </c>
      <c r="L29" s="17">
        <f>VLOOKUP(NBA_Teams_Data[[#This Row],[City Name]],Google_Trend_Score[#All], 2, FALSE)</f>
        <v>77</v>
      </c>
      <c r="M29" s="17">
        <f>COUNTIF(Exsisting_Major_Sports_Teams_Lookup[City],NBA_Teams_Data[[#This Row],[City Name]])</f>
        <v>3</v>
      </c>
      <c r="N29" s="17" t="s">
        <v>194</v>
      </c>
      <c r="O29" s="24">
        <v>19800</v>
      </c>
      <c r="P29" s="17">
        <v>4</v>
      </c>
      <c r="Q29" s="73">
        <f>VLOOKUP(NBA_Teams_Data[[#This Row],[Team Name]],NBA_Team_Financial_Data_Lookup[],3,FALSE)</f>
        <v>4400000000</v>
      </c>
      <c r="R29" s="73">
        <f>VLOOKUP(NBA_Teams_Data[[#This Row],[Team Name]],NBA_Team_Financial_Data_Lookup[],5,FALSE)</f>
        <v>97000000</v>
      </c>
      <c r="S29" s="13">
        <f>VLOOKUP(NBA_Teams_Data[[#This Row],[City ID]],NBA_City_WCS[#All],18, FALSE)</f>
        <v>49.7206379482081</v>
      </c>
      <c r="T29" s="13">
        <f>VLOOKUP(NBA_Teams_Data[[#This Row],[City ID]],All_Cities_WCS[#All],18,FALSE)</f>
        <v>0</v>
      </c>
      <c r="U29"/>
      <c r="X29"/>
    </row>
    <row r="30" spans="1:24">
      <c r="A30" s="23" t="s">
        <v>195</v>
      </c>
      <c r="B30" s="17" t="s">
        <v>196</v>
      </c>
      <c r="C30" s="17" t="s">
        <v>197</v>
      </c>
      <c r="D30" s="17">
        <f>VLOOKUP(NBA_Teams_Data[[#This Row],[Region]],Region_Lookup[],2)</f>
        <v>3</v>
      </c>
      <c r="E30" s="17" t="s">
        <v>43</v>
      </c>
      <c r="F30" s="24">
        <f>VLOOKUP(NBA_Teams_Data[[#This Row],[City Name]],USA_Metro_Population_Lookup[],2,FALSE)</f>
        <v>1300762</v>
      </c>
      <c r="G30" s="68">
        <f>VLOOKUP(NBA_Teams_Data[[#This Row],[City Name]],USA_Metro_Population_Lookup[], 3, FALSE)</f>
        <v>3.4</v>
      </c>
      <c r="H30" s="50">
        <f>VLOOKUP(NBA_Teams_Data[[#This Row],[City Name]],Demographic_Data_Lookup12[#All], 2, FALSE)</f>
        <v>45.5</v>
      </c>
      <c r="I30" s="36">
        <f>VLOOKUP(NBA_Teams_Data[[#This Row],[City Name]], Income_Data_Lookup[#All], 2, FALSE)</f>
        <v>70395</v>
      </c>
      <c r="J30" s="17">
        <f>VLOOKUP(NBA_Teams_Data[[#This Row],[City Name]], Income_Data_Lookup[#All], 3, FALSE)</f>
        <v>65</v>
      </c>
      <c r="K30" s="17">
        <f>VLOOKUP(NBA_Teams_Data[[#This Row],[City Name]],Nielsen_TV_Market_Lookup[],2,FALSE)</f>
        <v>29</v>
      </c>
      <c r="L30" s="17">
        <f>VLOOKUP(NBA_Teams_Data[[#This Row],[City Name]],Google_Trend_Score[#All], 2, FALSE)</f>
        <v>50</v>
      </c>
      <c r="M30" s="17">
        <f>COUNTIF(Exsisting_Major_Sports_Teams_Lookup[City],NBA_Teams_Data[[#This Row],[City Name]])</f>
        <v>2</v>
      </c>
      <c r="N30" s="17" t="s">
        <v>198</v>
      </c>
      <c r="O30" s="24">
        <v>18306</v>
      </c>
      <c r="P30" s="17">
        <f>COUNTIF(Fortune_500_Companies_Lookup[City],NBA_Teams_Data[[#This Row],[City Name]])</f>
        <v>0</v>
      </c>
      <c r="Q30" s="73">
        <f>VLOOKUP(NBA_Teams_Data[[#This Row],[Team Name]],NBA_Team_Financial_Data_Lookup[],3,FALSE)</f>
        <v>3550000000</v>
      </c>
      <c r="R30" s="73">
        <f>VLOOKUP(NBA_Teams_Data[[#This Row],[Team Name]],NBA_Team_Financial_Data_Lookup[],5,FALSE)</f>
        <v>89000000</v>
      </c>
      <c r="S30" s="13">
        <f>VLOOKUP(NBA_Teams_Data[[#This Row],[City ID]],NBA_City_WCS[#All],18, FALSE)</f>
        <v>36.196609182005929</v>
      </c>
      <c r="T30" s="13">
        <f>VLOOKUP(NBA_Teams_Data[[#This Row],[City ID]],All_Cities_WCS[#All],18,FALSE)</f>
        <v>0</v>
      </c>
      <c r="U30"/>
      <c r="X30"/>
    </row>
    <row r="31" spans="1:24">
      <c r="A31" s="28" t="s">
        <v>199</v>
      </c>
      <c r="B31" s="29" t="s">
        <v>200</v>
      </c>
      <c r="C31" s="29" t="s">
        <v>201</v>
      </c>
      <c r="D31" s="29">
        <f>VLOOKUP(NBA_Teams_Data[[#This Row],[Region]],Region_Lookup[],2)</f>
        <v>1</v>
      </c>
      <c r="E31" s="29" t="s">
        <v>74</v>
      </c>
      <c r="F31" s="30">
        <f>VLOOKUP(NBA_Teams_Data[[#This Row],[City Name]],USA_Metro_Population_Lookup[],2,FALSE)</f>
        <v>6436489</v>
      </c>
      <c r="G31" s="69">
        <f>VLOOKUP(NBA_Teams_Data[[#This Row],[City Name]],USA_Metro_Population_Lookup[], 3, FALSE)</f>
        <v>2.52</v>
      </c>
      <c r="H31" s="52">
        <f>VLOOKUP(NBA_Teams_Data[[#This Row],[City Name]],Demographic_Data_Lookup12[#All], 2, FALSE)</f>
        <v>41.3</v>
      </c>
      <c r="I31" s="38">
        <f>VLOOKUP(NBA_Teams_Data[[#This Row],[City Name]], Income_Data_Lookup[#All], 2, FALSE)</f>
        <v>89396</v>
      </c>
      <c r="J31" s="29">
        <f>VLOOKUP(NBA_Teams_Data[[#This Row],[City Name]], Income_Data_Lookup[#All], 3, FALSE)</f>
        <v>14</v>
      </c>
      <c r="K31" s="29">
        <f>VLOOKUP(NBA_Teams_Data[[#This Row],[City Name]],Nielsen_TV_Market_Lookup[],2,FALSE)</f>
        <v>9</v>
      </c>
      <c r="L31" s="29">
        <f>VLOOKUP(NBA_Teams_Data[[#This Row],[City Name]],Google_Trend_Score[#All], 2, FALSE)</f>
        <v>47</v>
      </c>
      <c r="M31" s="29">
        <f>COUNTIF(Exsisting_Major_Sports_Teams_Lookup[City],NBA_Teams_Data[[#This Row],[City Name]])</f>
        <v>4</v>
      </c>
      <c r="N31" s="29" t="s">
        <v>202</v>
      </c>
      <c r="O31" s="30">
        <v>20356</v>
      </c>
      <c r="P31" s="29">
        <f>COUNTIF(Fortune_500_Companies_Lookup[City],NBA_Teams_Data[[#This Row],[City Name]])</f>
        <v>20</v>
      </c>
      <c r="Q31" s="73">
        <f>VLOOKUP(NBA_Teams_Data[[#This Row],[Team Name]],NBA_Team_Financial_Data_Lookup[],3,FALSE)</f>
        <v>4099999999.9999995</v>
      </c>
      <c r="R31" s="73">
        <f>VLOOKUP(NBA_Teams_Data[[#This Row],[Team Name]],NBA_Team_Financial_Data_Lookup[],5,FALSE)</f>
        <v>118000000</v>
      </c>
      <c r="S31" s="13">
        <f>VLOOKUP(NBA_Teams_Data[[#This Row],[City ID]],NBA_City_WCS[#All],18, FALSE)</f>
        <v>45.473255913189888</v>
      </c>
      <c r="T31" s="13">
        <f>VLOOKUP(NBA_Teams_Data[[#This Row],[City ID]],All_Cities_WCS[#All],18,FALSE)</f>
        <v>27.777777777777779</v>
      </c>
      <c r="U31"/>
      <c r="X31"/>
    </row>
  </sheetData>
  <phoneticPr fontId="2" type="noConversion"/>
  <conditionalFormatting sqref="F2:F31">
    <cfRule type="cellIs" dxfId="198" priority="30" operator="between">
      <formula>2000000</formula>
      <formula>3000000</formula>
    </cfRule>
    <cfRule type="cellIs" dxfId="197" priority="31" operator="lessThan">
      <formula>2000000</formula>
    </cfRule>
    <cfRule type="cellIs" dxfId="196" priority="32" operator="greaterThan">
      <formula>3000000</formula>
    </cfRule>
  </conditionalFormatting>
  <conditionalFormatting sqref="G2:G31">
    <cfRule type="cellIs" dxfId="195" priority="28" operator="lessThan">
      <formula>0</formula>
    </cfRule>
    <cfRule type="cellIs" dxfId="194" priority="29" operator="greaterThan">
      <formula>0</formula>
    </cfRule>
  </conditionalFormatting>
  <conditionalFormatting sqref="H2:H31">
    <cfRule type="cellIs" dxfId="193" priority="25" operator="between">
      <formula>40</formula>
      <formula>42</formula>
    </cfRule>
    <cfRule type="cellIs" dxfId="192" priority="26" operator="greaterThan">
      <formula>42</formula>
    </cfRule>
    <cfRule type="cellIs" dxfId="191" priority="27" operator="lessThan">
      <formula>40</formula>
    </cfRule>
  </conditionalFormatting>
  <conditionalFormatting sqref="I2:I31">
    <cfRule type="cellIs" dxfId="190" priority="22" operator="between">
      <formula>65000</formula>
      <formula>70000</formula>
    </cfRule>
    <cfRule type="cellIs" dxfId="189" priority="23" operator="lessThan">
      <formula>65000</formula>
    </cfRule>
    <cfRule type="cellIs" dxfId="188" priority="24" operator="greaterThan">
      <formula>70000</formula>
    </cfRule>
  </conditionalFormatting>
  <conditionalFormatting sqref="J2:J31">
    <cfRule type="cellIs" dxfId="187" priority="19" operator="greaterThan">
      <formula>100</formula>
    </cfRule>
    <cfRule type="cellIs" dxfId="186" priority="20" operator="between">
      <formula>66</formula>
      <formula>100</formula>
    </cfRule>
    <cfRule type="cellIs" dxfId="185" priority="21" operator="lessThan">
      <formula>66</formula>
    </cfRule>
  </conditionalFormatting>
  <conditionalFormatting sqref="K2:K31">
    <cfRule type="cellIs" dxfId="184" priority="18" operator="lessThan">
      <formula>30</formula>
    </cfRule>
  </conditionalFormatting>
  <conditionalFormatting sqref="K16:K28">
    <cfRule type="cellIs" dxfId="183" priority="16" operator="between">
      <formula>32</formula>
      <formula>48</formula>
    </cfRule>
    <cfRule type="cellIs" dxfId="182" priority="17" operator="greaterThan">
      <formula>50</formula>
    </cfRule>
  </conditionalFormatting>
  <conditionalFormatting sqref="L2:L31">
    <cfRule type="cellIs" dxfId="181" priority="15" operator="greaterThan">
      <formula>55</formula>
    </cfRule>
  </conditionalFormatting>
  <conditionalFormatting sqref="L4:L31">
    <cfRule type="cellIs" dxfId="180" priority="14" operator="lessThan">
      <formula>55</formula>
    </cfRule>
  </conditionalFormatting>
  <conditionalFormatting sqref="L2:L7">
    <cfRule type="cellIs" dxfId="179" priority="13" operator="lessThan">
      <formula>55</formula>
    </cfRule>
  </conditionalFormatting>
  <conditionalFormatting sqref="P2:P31">
    <cfRule type="cellIs" dxfId="178" priority="10" operator="greaterThan">
      <formula>3</formula>
    </cfRule>
    <cfRule type="cellIs" dxfId="177" priority="11" operator="equal">
      <formula>3</formula>
    </cfRule>
    <cfRule type="cellIs" dxfId="176" priority="12" operator="lessThan">
      <formula>3</formula>
    </cfRule>
  </conditionalFormatting>
  <conditionalFormatting sqref="Q2:Q31">
    <cfRule type="cellIs" dxfId="175" priority="7" operator="between">
      <formula>3500000000</formula>
      <formula>4000000000</formula>
    </cfRule>
    <cfRule type="cellIs" dxfId="174" priority="8" operator="lessThan">
      <formula>3500000000</formula>
    </cfRule>
    <cfRule type="cellIs" dxfId="173" priority="9" operator="greaterThan">
      <formula>4000000000</formula>
    </cfRule>
  </conditionalFormatting>
  <conditionalFormatting sqref="R2:R31">
    <cfRule type="cellIs" dxfId="172" priority="4" operator="greaterThan">
      <formula>100000000</formula>
    </cfRule>
    <cfRule type="cellIs" dxfId="171" priority="5" operator="between">
      <formula>0</formula>
      <formula>100000000</formula>
    </cfRule>
    <cfRule type="cellIs" dxfId="170" priority="6" operator="lessThan">
      <formula>0</formula>
    </cfRule>
  </conditionalFormatting>
  <conditionalFormatting sqref="S2:S31">
    <cfRule type="colorScale" priority="2">
      <colorScale>
        <cfvo type="min"/>
        <cfvo type="percentile" val="50"/>
        <cfvo type="max"/>
        <color rgb="FFF8696B"/>
        <color rgb="FFFFEB84"/>
        <color rgb="FF63BE7B"/>
      </colorScale>
    </cfRule>
    <cfRule type="dataBar" priority="3">
      <dataBar>
        <cfvo type="min"/>
        <cfvo type="max"/>
        <color rgb="FF63C384"/>
      </dataBar>
      <extLst>
        <ext xmlns:x14="http://schemas.microsoft.com/office/spreadsheetml/2009/9/main" uri="{B025F937-C7B1-47D3-B67F-A62EFF666E3E}">
          <x14:id>{028FABAD-E5A9-434D-8E72-72819153A538}</x14:id>
        </ext>
      </extLst>
    </cfRule>
  </conditionalFormatting>
  <conditionalFormatting sqref="T2:T31">
    <cfRule type="colorScale" priority="1">
      <colorScale>
        <cfvo type="min"/>
        <cfvo type="percentile" val="50"/>
        <cfvo type="max"/>
        <color rgb="FFF8696B"/>
        <color rgb="FFFFEB84"/>
        <color rgb="FF63BE7B"/>
      </colorScale>
    </cfRule>
  </conditionalFormatting>
  <pageMargins left="0.7" right="0.7" top="0.75" bottom="0.75" header="0.3" footer="0.3"/>
  <ignoredErrors>
    <ignoredError sqref="P29 R2" calculatedColumn="1"/>
  </ignoredErrors>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028FABAD-E5A9-434D-8E72-72819153A538}">
            <x14:dataBar minLength="0" maxLength="100" gradient="0">
              <x14:cfvo type="autoMin"/>
              <x14:cfvo type="autoMax"/>
              <x14:negativeFillColor rgb="FFFF0000"/>
              <x14:axisColor rgb="FF000000"/>
            </x14:dataBar>
          </x14:cfRule>
          <xm:sqref>S2:S31</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E6A55-3714-47D5-9CF3-F1054204BEAA}">
  <dimension ref="A1:S47"/>
  <sheetViews>
    <sheetView tabSelected="1" workbookViewId="0">
      <pane xSplit="1" topLeftCell="B1" activePane="topRight" state="frozen"/>
      <selection pane="topRight" activeCell="C43" sqref="C43"/>
    </sheetView>
  </sheetViews>
  <sheetFormatPr defaultRowHeight="14.45"/>
  <cols>
    <col min="1" max="1" width="9.42578125" customWidth="1"/>
    <col min="2" max="2" width="31.85546875" bestFit="1" customWidth="1"/>
    <col min="3" max="3" width="12" customWidth="1"/>
    <col min="4" max="4" width="21.5703125" hidden="1" customWidth="1"/>
    <col min="5" max="5" width="24.42578125" customWidth="1"/>
    <col min="6" max="6" width="17.42578125" hidden="1" customWidth="1"/>
    <col min="7" max="7" width="17.42578125" customWidth="1"/>
    <col min="8" max="8" width="18.42578125" hidden="1" customWidth="1"/>
    <col min="9" max="9" width="18.42578125" customWidth="1"/>
    <col min="10" max="10" width="16.85546875" hidden="1" customWidth="1"/>
    <col min="11" max="11" width="16.85546875" customWidth="1"/>
    <col min="12" max="12" width="19" hidden="1" customWidth="1"/>
    <col min="13" max="13" width="19" customWidth="1"/>
    <col min="14" max="14" width="27.5703125" hidden="1" customWidth="1"/>
    <col min="15" max="15" width="27.5703125" customWidth="1"/>
    <col min="16" max="16" width="15.5703125" customWidth="1"/>
    <col min="17" max="17" width="18.42578125" hidden="1" customWidth="1"/>
    <col min="18" max="18" width="18.42578125" customWidth="1"/>
    <col min="19" max="19" width="23" bestFit="1" customWidth="1"/>
  </cols>
  <sheetData>
    <row r="1" spans="1:19" ht="43.5">
      <c r="A1" s="61" t="s">
        <v>0</v>
      </c>
      <c r="B1" s="62" t="s">
        <v>1</v>
      </c>
      <c r="C1" s="62" t="s">
        <v>3</v>
      </c>
      <c r="D1" s="66" t="s">
        <v>77</v>
      </c>
      <c r="E1" s="54" t="s">
        <v>203</v>
      </c>
      <c r="F1" s="88" t="s">
        <v>78</v>
      </c>
      <c r="G1" s="54" t="s">
        <v>204</v>
      </c>
      <c r="H1" s="89" t="s">
        <v>8</v>
      </c>
      <c r="I1" s="54" t="s">
        <v>205</v>
      </c>
      <c r="J1" s="88" t="s">
        <v>10</v>
      </c>
      <c r="K1" s="54" t="s">
        <v>206</v>
      </c>
      <c r="L1" s="54" t="s">
        <v>11</v>
      </c>
      <c r="M1" s="54" t="s">
        <v>207</v>
      </c>
      <c r="N1" s="88" t="s">
        <v>7</v>
      </c>
      <c r="O1" s="54" t="s">
        <v>208</v>
      </c>
      <c r="P1" s="88" t="s">
        <v>209</v>
      </c>
      <c r="Q1" s="90" t="s">
        <v>17</v>
      </c>
      <c r="R1" s="54" t="s">
        <v>210</v>
      </c>
      <c r="S1" s="31" t="s">
        <v>211</v>
      </c>
    </row>
    <row r="2" spans="1:19">
      <c r="A2" s="46" t="s">
        <v>21</v>
      </c>
      <c r="B2" s="44" t="s">
        <v>22</v>
      </c>
      <c r="C2" s="44" t="s">
        <v>23</v>
      </c>
      <c r="D2" s="24">
        <f>VLOOKUP('All Cities WCS'!B2,USA_Metro_Population_Lookup[#All],2,FALSE)</f>
        <v>1091764</v>
      </c>
      <c r="E2" s="72">
        <f>(All_Cities_WCS[[#This Row],[Metro Population 2024]] - MIN(All_Cities_WCS[Metro Population 2024]))/(MAX(All_Cities_WCS[Metro Population 2024]) - MIN(All_Cities_WCS[Metro Population 2024])) * 100</f>
        <v>0.66160909081901575</v>
      </c>
      <c r="F2" s="17">
        <f>VLOOKUP('All Cities WCS'!B2,USA_Metro_Population_Lookup[#All],3,FALSE)</f>
        <v>1.07</v>
      </c>
      <c r="G2" s="37">
        <f>(All_Cities_WCS[[#This Row],[Population Growth (% Change since 2020)]] - MIN(All_Cities_WCS[Population Growth (% Change since 2020)]))/(MAX(All_Cities_WCS[Population Growth (% Change since 2020)]) - MIN(All_Cities_WCS[Population Growth (% Change since 2020)])) * 100</f>
        <v>32.593532022828157</v>
      </c>
      <c r="H2" s="24">
        <f>VLOOKUP(All_Cities_WCS[[#This Row],[City Name]],Income_Data_Lookup[#All],2,FALSE)</f>
        <v>57278</v>
      </c>
      <c r="I2" s="72">
        <f>(All_Cities_WCS[[#This Row],[Per Capita Personal Income (2023)]] - MIN(All_Cities_WCS[Per Capita Personal Income (2023)]))/(MAX(All_Cities_WCS[Per Capita Personal Income (2023)]) - MIN(All_Cities_WCS[Per Capita Personal Income (2023)])) * 100</f>
        <v>0</v>
      </c>
      <c r="J2" s="17">
        <f>VLOOKUP(All_Cities_WCS[[#This Row],[City Name]],Nielsen_TV_Market_Lookup[#All],2,FALSE)</f>
        <v>49</v>
      </c>
      <c r="K2" s="37">
        <f>(All_Cities_WCS[[#This Row],[Nielsen TV Market Rank]] - MAX(All_Cities_WCS[Nielsen TV Market Rank]))/(MIN(All_Cities_WCS[Nielsen TV Market Rank]) - MAX(All_Cities_WCS[Nielsen TV Market Rank])) * 100</f>
        <v>34.246575342465754</v>
      </c>
      <c r="L2" s="17">
        <f>VLOOKUP(All_Cities_WCS[[#This Row],[City Name]],Google_Trend_Score[#All],2,FALSE)</f>
        <v>45</v>
      </c>
      <c r="M2" s="37">
        <f>(All_Cities_WCS[[#This Row],[NBA Google Analytic Trend Score (0-100)]] - MIN(All_Cities_WCS[NBA Google Analytic Trend Score (0-100)]))/(MAX(All_Cities_WCS[NBA Google Analytic Trend Score (0-100)]) - MIN(All_Cities_WCS[NBA Google Analytic Trend Score (0-100)])) * 100</f>
        <v>18.867924528301888</v>
      </c>
      <c r="N2" s="17">
        <f>VLOOKUP(All_Cities_WCS[[#This Row],[City Name]],Demographic_Data_Lookup12[#All],2,FALSE)</f>
        <v>40.1</v>
      </c>
      <c r="O2"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30.61224489795919</v>
      </c>
      <c r="P2" s="17">
        <v>0</v>
      </c>
      <c r="Q2" s="25">
        <f>COUNTIF(Fortune_500_Companies_Lookup[City],All_Cities_WCS[[#This Row],[City Name]])</f>
        <v>0</v>
      </c>
      <c r="R2" s="91">
        <f>All_Cities_WCS[[#This Row],[Fortune 500 HQ''s]]/72 * 100</f>
        <v>0</v>
      </c>
      <c r="S2"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13.39402609846071</v>
      </c>
    </row>
    <row r="3" spans="1:19">
      <c r="A3" s="46" t="s">
        <v>85</v>
      </c>
      <c r="B3" s="44" t="s">
        <v>86</v>
      </c>
      <c r="C3" s="44" t="s">
        <v>28</v>
      </c>
      <c r="D3" s="24">
        <f>VLOOKUP('All Cities WCS'!B3,USA_Metro_Population_Lookup[#All],2,FALSE)</f>
        <v>6411149</v>
      </c>
      <c r="E3" s="72">
        <f>(All_Cities_WCS[[#This Row],[Metro Population 2024]] - MIN(All_Cities_WCS[Metro Population 2024]))/(MAX(All_Cities_WCS[Metro Population 2024]) - MIN(All_Cities_WCS[Metro Population 2024])) * 100</f>
        <v>28.696671094469899</v>
      </c>
      <c r="F3" s="17">
        <f>VLOOKUP('All Cities WCS'!B3,USA_Metro_Population_Lookup[#All],3,FALSE)</f>
        <v>5.0199999999999996</v>
      </c>
      <c r="G3" s="37">
        <f>(All_Cities_WCS[[#This Row],[Population Growth (% Change since 2020)]] - MIN(All_Cities_WCS[Population Growth (% Change since 2020)]))/(MAX(All_Cities_WCS[Population Growth (% Change since 2020)]) - MIN(All_Cities_WCS[Population Growth (% Change since 2020)])) * 100</f>
        <v>57.641090678503495</v>
      </c>
      <c r="H3" s="24">
        <f>VLOOKUP(All_Cities_WCS[[#This Row],[City Name]],Income_Data_Lookup[#All],2,FALSE)</f>
        <v>68027</v>
      </c>
      <c r="I3" s="72">
        <f>(All_Cities_WCS[[#This Row],[Per Capita Personal Income (2023)]] - MIN(All_Cities_WCS[Per Capita Personal Income (2023)]))/(MAX(All_Cities_WCS[Per Capita Personal Income (2023)]) - MIN(All_Cities_WCS[Per Capita Personal Income (2023)])) * 100</f>
        <v>14.634046724391439</v>
      </c>
      <c r="J3" s="17">
        <f>VLOOKUP(All_Cities_WCS[[#This Row],[City Name]],Nielsen_TV_Market_Lookup[#All],2,FALSE)</f>
        <v>7</v>
      </c>
      <c r="K3" s="37">
        <f>(All_Cities_WCS[[#This Row],[Nielsen TV Market Rank]] - MAX(All_Cities_WCS[Nielsen TV Market Rank]))/(MIN(All_Cities_WCS[Nielsen TV Market Rank]) - MAX(All_Cities_WCS[Nielsen TV Market Rank])) * 100</f>
        <v>91.780821917808225</v>
      </c>
      <c r="L3" s="17">
        <f>VLOOKUP(All_Cities_WCS[[#This Row],[City Name]],Google_Trend_Score[#All],2,FALSE)</f>
        <v>54</v>
      </c>
      <c r="M3" s="37">
        <f>(All_Cities_WCS[[#This Row],[NBA Google Analytic Trend Score (0-100)]] - MIN(All_Cities_WCS[NBA Google Analytic Trend Score (0-100)]))/(MAX(All_Cities_WCS[NBA Google Analytic Trend Score (0-100)]) - MIN(All_Cities_WCS[NBA Google Analytic Trend Score (0-100)])) * 100</f>
        <v>35.849056603773583</v>
      </c>
      <c r="N3" s="17">
        <f>VLOOKUP(All_Cities_WCS[[#This Row],[City Name]],Demographic_Data_Lookup12[#All],2,FALSE)</f>
        <v>41.8</v>
      </c>
      <c r="O3"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47.959183673469354</v>
      </c>
      <c r="P3" s="17">
        <v>100</v>
      </c>
      <c r="Q3" s="25">
        <f>COUNTIF(Fortune_500_Companies_Lookup[City],All_Cities_WCS[[#This Row],[City Name]])</f>
        <v>15</v>
      </c>
      <c r="R3" s="91">
        <f>All_Cities_WCS[[#This Row],[Fortune 500 HQ''s]]/72 * 100</f>
        <v>20.833333333333336</v>
      </c>
      <c r="S3"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46.22284438216667</v>
      </c>
    </row>
    <row r="4" spans="1:19">
      <c r="A4" s="23" t="s">
        <v>26</v>
      </c>
      <c r="B4" s="17" t="s">
        <v>27</v>
      </c>
      <c r="C4" s="17" t="s">
        <v>28</v>
      </c>
      <c r="D4" s="24">
        <f>VLOOKUP('All Cities WCS'!B4,USA_Metro_Population_Lookup[#All],2,FALSE)</f>
        <v>2550637</v>
      </c>
      <c r="E4" s="72">
        <f>(All_Cities_WCS[[#This Row],[Metro Population 2024]] - MIN(All_Cities_WCS[Metro Population 2024]))/(MAX(All_Cities_WCS[Metro Population 2024]) - MIN(All_Cities_WCS[Metro Population 2024])) * 100</f>
        <v>8.350391724610736</v>
      </c>
      <c r="F4" s="17">
        <f>VLOOKUP('All Cities WCS'!B4,USA_Metro_Population_Lookup[#All],3,FALSE)</f>
        <v>11.7</v>
      </c>
      <c r="G4" s="37">
        <f>(All_Cities_WCS[[#This Row],[Population Growth (% Change since 2020)]] - MIN(All_Cities_WCS[Population Growth (% Change since 2020)]))/(MAX(All_Cities_WCS[Population Growth (% Change since 2020)]) - MIN(All_Cities_WCS[Population Growth (% Change since 2020)])) * 100</f>
        <v>100</v>
      </c>
      <c r="H4" s="24">
        <f>VLOOKUP(All_Cities_WCS[[#This Row],[City Name]],Income_Data_Lookup[#All],2,FALSE)</f>
        <v>80471</v>
      </c>
      <c r="I4" s="72">
        <f>(All_Cities_WCS[[#This Row],[Per Capita Personal Income (2023)]] - MIN(All_Cities_WCS[Per Capita Personal Income (2023)]))/(MAX(All_Cities_WCS[Per Capita Personal Income (2023)]) - MIN(All_Cities_WCS[Per Capita Personal Income (2023)])) * 100</f>
        <v>31.575722921091327</v>
      </c>
      <c r="J4" s="17">
        <f>VLOOKUP(All_Cities_WCS[[#This Row],[City Name]],Nielsen_TV_Market_Lookup[#All],2,FALSE)</f>
        <v>35</v>
      </c>
      <c r="K4" s="37">
        <f>(All_Cities_WCS[[#This Row],[Nielsen TV Market Rank]] - MAX(All_Cities_WCS[Nielsen TV Market Rank]))/(MIN(All_Cities_WCS[Nielsen TV Market Rank]) - MAX(All_Cities_WCS[Nielsen TV Market Rank])) * 100</f>
        <v>53.424657534246577</v>
      </c>
      <c r="L4" s="17">
        <f>VLOOKUP(All_Cities_WCS[[#This Row],[City Name]],Google_Trend_Score[#All],2,FALSE)</f>
        <v>48</v>
      </c>
      <c r="M4" s="37">
        <f>(All_Cities_WCS[[#This Row],[NBA Google Analytic Trend Score (0-100)]] - MIN(All_Cities_WCS[NBA Google Analytic Trend Score (0-100)]))/(MAX(All_Cities_WCS[NBA Google Analytic Trend Score (0-100)]) - MIN(All_Cities_WCS[NBA Google Analytic Trend Score (0-100)])) * 100</f>
        <v>24.528301886792452</v>
      </c>
      <c r="N4" s="17">
        <f>VLOOKUP(All_Cities_WCS[[#This Row],[City Name]],Demographic_Data_Lookup12[#All],2,FALSE)</f>
        <v>46.9</v>
      </c>
      <c r="O4"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100</v>
      </c>
      <c r="P4" s="17">
        <v>0</v>
      </c>
      <c r="Q4" s="25">
        <f>COUNTIF(Fortune_500_Companies_Lookup[City],All_Cities_WCS[[#This Row],[City Name]])</f>
        <v>3</v>
      </c>
      <c r="R4" s="91">
        <f>All_Cities_WCS[[#This Row],[Fortune 500 HQ''s]]/72 * 100</f>
        <v>4.1666666666666661</v>
      </c>
      <c r="S4"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39.618399391856414</v>
      </c>
    </row>
    <row r="5" spans="1:19">
      <c r="A5" s="23" t="s">
        <v>89</v>
      </c>
      <c r="B5" s="17" t="s">
        <v>90</v>
      </c>
      <c r="C5" s="17" t="s">
        <v>74</v>
      </c>
      <c r="D5" s="24">
        <f>VLOOKUP('All Cities WCS'!B5,USA_Metro_Population_Lookup[#All],2,FALSE)</f>
        <v>5025517</v>
      </c>
      <c r="E5" s="72">
        <f>(All_Cities_WCS[[#This Row],[Metro Population 2024]] - MIN(All_Cities_WCS[Metro Population 2024]))/(MAX(All_Cities_WCS[Metro Population 2024]) - MIN(All_Cities_WCS[Metro Population 2024])) * 100</f>
        <v>21.393894733247166</v>
      </c>
      <c r="F5" s="17">
        <f>VLOOKUP('All Cities WCS'!B5,USA_Metro_Population_Lookup[#All],3,FALSE)</f>
        <v>1.7</v>
      </c>
      <c r="G5" s="37">
        <f>(All_Cities_WCS[[#This Row],[Population Growth (% Change since 2020)]] - MIN(All_Cities_WCS[Population Growth (% Change since 2020)]))/(MAX(All_Cities_WCS[Population Growth (% Change since 2020)]) - MIN(All_Cities_WCS[Population Growth (% Change since 2020)])) * 100</f>
        <v>36.588459099556125</v>
      </c>
      <c r="H5" s="24">
        <f>VLOOKUP(All_Cities_WCS[[#This Row],[City Name]],Income_Data_Lookup[#All],2,FALSE)</f>
        <v>100880</v>
      </c>
      <c r="I5" s="72">
        <f>(All_Cities_WCS[[#This Row],[Per Capita Personal Income (2023)]] - MIN(All_Cities_WCS[Per Capita Personal Income (2023)]))/(MAX(All_Cities_WCS[Per Capita Personal Income (2023)]) - MIN(All_Cities_WCS[Per Capita Personal Income (2023)])) * 100</f>
        <v>59.361215487665419</v>
      </c>
      <c r="J5" s="17">
        <f>VLOOKUP(All_Cities_WCS[[#This Row],[City Name]],Nielsen_TV_Market_Lookup[#All],2,FALSE)</f>
        <v>10</v>
      </c>
      <c r="K5" s="37">
        <f>(All_Cities_WCS[[#This Row],[Nielsen TV Market Rank]] - MAX(All_Cities_WCS[Nielsen TV Market Rank]))/(MIN(All_Cities_WCS[Nielsen TV Market Rank]) - MAX(All_Cities_WCS[Nielsen TV Market Rank])) * 100</f>
        <v>87.671232876712324</v>
      </c>
      <c r="L5" s="17">
        <f>VLOOKUP(All_Cities_WCS[[#This Row],[City Name]],Google_Trend_Score[#All],2,FALSE)</f>
        <v>65</v>
      </c>
      <c r="M5" s="37">
        <f>(All_Cities_WCS[[#This Row],[NBA Google Analytic Trend Score (0-100)]] - MIN(All_Cities_WCS[NBA Google Analytic Trend Score (0-100)]))/(MAX(All_Cities_WCS[NBA Google Analytic Trend Score (0-100)]) - MIN(All_Cities_WCS[NBA Google Analytic Trend Score (0-100)])) * 100</f>
        <v>56.60377358490566</v>
      </c>
      <c r="N5" s="17">
        <f>VLOOKUP(All_Cities_WCS[[#This Row],[City Name]],Demographic_Data_Lookup12[#All],2,FALSE)</f>
        <v>41.3</v>
      </c>
      <c r="O5"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42.857142857142826</v>
      </c>
      <c r="P5" s="17">
        <v>100</v>
      </c>
      <c r="Q5" s="25">
        <f>COUNTIF(Fortune_500_Companies_Lookup[City],All_Cities_WCS[[#This Row],[City Name]])</f>
        <v>15</v>
      </c>
      <c r="R5" s="91">
        <f>All_Cities_WCS[[#This Row],[Fortune 500 HQ''s]]/72 * 100</f>
        <v>20.833333333333336</v>
      </c>
      <c r="S5"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49.467778399942084</v>
      </c>
    </row>
    <row r="6" spans="1:19">
      <c r="A6" s="23" t="s">
        <v>97</v>
      </c>
      <c r="B6" s="17" t="s">
        <v>98</v>
      </c>
      <c r="C6" s="17" t="s">
        <v>74</v>
      </c>
      <c r="D6" s="24">
        <f>VLOOKUP('All Cities WCS'!B6,USA_Metro_Population_Lookup[#All],2,FALSE)</f>
        <v>2883370</v>
      </c>
      <c r="E6" s="72">
        <f>(All_Cities_WCS[[#This Row],[Metro Population 2024]] - MIN(All_Cities_WCS[Metro Population 2024]))/(MAX(All_Cities_WCS[Metro Population 2024]) - MIN(All_Cities_WCS[Metro Population 2024])) * 100</f>
        <v>10.104013672572911</v>
      </c>
      <c r="F6" s="17">
        <f>VLOOKUP('All Cities WCS'!B6,USA_Metro_Population_Lookup[#All],3,FALSE)</f>
        <v>8.3800000000000008</v>
      </c>
      <c r="G6" s="37">
        <f>(All_Cities_WCS[[#This Row],[Population Growth (% Change since 2020)]] - MIN(All_Cities_WCS[Population Growth (% Change since 2020)]))/(MAX(All_Cities_WCS[Population Growth (% Change since 2020)]) - MIN(All_Cities_WCS[Population Growth (% Change since 2020)])) * 100</f>
        <v>78.947368421052644</v>
      </c>
      <c r="H6" s="24">
        <f>VLOOKUP(All_Cities_WCS[[#This Row],[City Name]],Income_Data_Lookup[#All],2,FALSE)</f>
        <v>69588</v>
      </c>
      <c r="I6" s="72">
        <f>(All_Cities_WCS[[#This Row],[Per Capita Personal Income (2023)]] - MIN(All_Cities_WCS[Per Capita Personal Income (2023)]))/(MAX(All_Cities_WCS[Per Capita Personal Income (2023)]) - MIN(All_Cities_WCS[Per Capita Personal Income (2023)])) * 100</f>
        <v>16.759244132222403</v>
      </c>
      <c r="J6" s="17">
        <f>VLOOKUP(All_Cities_WCS[[#This Row],[City Name]],Nielsen_TV_Market_Lookup[#All],2,FALSE)</f>
        <v>22</v>
      </c>
      <c r="K6" s="37">
        <f>(All_Cities_WCS[[#This Row],[Nielsen TV Market Rank]] - MAX(All_Cities_WCS[Nielsen TV Market Rank]))/(MIN(All_Cities_WCS[Nielsen TV Market Rank]) - MAX(All_Cities_WCS[Nielsen TV Market Rank])) * 100</f>
        <v>71.232876712328761</v>
      </c>
      <c r="L6" s="17">
        <f>VLOOKUP(All_Cities_WCS[[#This Row],[City Name]],Google_Trend_Score[#All],2,FALSE)</f>
        <v>52</v>
      </c>
      <c r="M6" s="37">
        <f>(All_Cities_WCS[[#This Row],[NBA Google Analytic Trend Score (0-100)]] - MIN(All_Cities_WCS[NBA Google Analytic Trend Score (0-100)]))/(MAX(All_Cities_WCS[NBA Google Analytic Trend Score (0-100)]) - MIN(All_Cities_WCS[NBA Google Analytic Trend Score (0-100)])) * 100</f>
        <v>32.075471698113205</v>
      </c>
      <c r="N6" s="17">
        <f>VLOOKUP(All_Cities_WCS[[#This Row],[City Name]],Demographic_Data_Lookup12[#All],2,FALSE)</f>
        <v>40.9</v>
      </c>
      <c r="O6"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38.775510204081613</v>
      </c>
      <c r="P6" s="17">
        <v>100</v>
      </c>
      <c r="Q6" s="25">
        <f>COUNTIF(Fortune_500_Companies_Lookup[City],All_Cities_WCS[[#This Row],[City Name]])</f>
        <v>7</v>
      </c>
      <c r="R6" s="91">
        <f>All_Cities_WCS[[#This Row],[Fortune 500 HQ''s]]/72 * 100</f>
        <v>9.7222222222222232</v>
      </c>
      <c r="S6"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41.557402701180415</v>
      </c>
    </row>
    <row r="7" spans="1:19">
      <c r="A7" s="46" t="s">
        <v>101</v>
      </c>
      <c r="B7" s="44" t="s">
        <v>102</v>
      </c>
      <c r="C7" s="44" t="s">
        <v>33</v>
      </c>
      <c r="D7" s="24">
        <f>VLOOKUP('All Cities WCS'!B7,USA_Metro_Population_Lookup[#All],2,FALSE)</f>
        <v>9408576</v>
      </c>
      <c r="E7" s="72">
        <f>(All_Cities_WCS[[#This Row],[Metro Population 2024]] - MIN(All_Cities_WCS[Metro Population 2024]))/(MAX(All_Cities_WCS[Metro Population 2024]) - MIN(All_Cities_WCS[Metro Population 2024])) * 100</f>
        <v>44.4941837385852</v>
      </c>
      <c r="F7" s="17">
        <f>VLOOKUP('All Cities WCS'!B7,USA_Metro_Population_Lookup[#All],3,FALSE)</f>
        <v>-0.43</v>
      </c>
      <c r="G7" s="37">
        <f>(All_Cities_WCS[[#This Row],[Population Growth (% Change since 2020)]] - MIN(All_Cities_WCS[Population Growth (% Change since 2020)]))/(MAX(All_Cities_WCS[Population Growth (% Change since 2020)]) - MIN(All_Cities_WCS[Population Growth (% Change since 2020)])) * 100</f>
        <v>23.081800887761574</v>
      </c>
      <c r="H7" s="24">
        <f>VLOOKUP(All_Cities_WCS[[#This Row],[City Name]],Income_Data_Lookup[#All],2,FALSE)</f>
        <v>77429</v>
      </c>
      <c r="I7" s="72">
        <f>(All_Cities_WCS[[#This Row],[Per Capita Personal Income (2023)]] - MIN(All_Cities_WCS[Per Capita Personal Income (2023)]))/(MAX(All_Cities_WCS[Per Capita Personal Income (2023)]) - MIN(All_Cities_WCS[Per Capita Personal Income (2023)])) * 100</f>
        <v>27.434242770789087</v>
      </c>
      <c r="J7" s="17">
        <f>VLOOKUP(All_Cities_WCS[[#This Row],[City Name]],Nielsen_TV_Market_Lookup[#All],2,FALSE)</f>
        <v>3</v>
      </c>
      <c r="K7" s="37">
        <f>(All_Cities_WCS[[#This Row],[Nielsen TV Market Rank]] - MAX(All_Cities_WCS[Nielsen TV Market Rank]))/(MIN(All_Cities_WCS[Nielsen TV Market Rank]) - MAX(All_Cities_WCS[Nielsen TV Market Rank])) * 100</f>
        <v>97.260273972602747</v>
      </c>
      <c r="L7" s="17">
        <f>VLOOKUP(All_Cities_WCS[[#This Row],[City Name]],Google_Trend_Score[#All],2,FALSE)</f>
        <v>65</v>
      </c>
      <c r="M7" s="37">
        <f>(All_Cities_WCS[[#This Row],[NBA Google Analytic Trend Score (0-100)]] - MIN(All_Cities_WCS[NBA Google Analytic Trend Score (0-100)]))/(MAX(All_Cities_WCS[NBA Google Analytic Trend Score (0-100)]) - MIN(All_Cities_WCS[NBA Google Analytic Trend Score (0-100)])) * 100</f>
        <v>56.60377358490566</v>
      </c>
      <c r="N7" s="17">
        <f>VLOOKUP(All_Cities_WCS[[#This Row],[City Name]],Demographic_Data_Lookup12[#All],2,FALSE)</f>
        <v>40.6</v>
      </c>
      <c r="O7"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35.71428571428573</v>
      </c>
      <c r="P7" s="17">
        <v>100</v>
      </c>
      <c r="Q7" s="25">
        <f>COUNTIF(Fortune_500_Companies_Lookup[City],All_Cities_WCS[[#This Row],[City Name]])</f>
        <v>30</v>
      </c>
      <c r="R7" s="91">
        <f>All_Cities_WCS[[#This Row],[Fortune 500 HQ''s]]/72 * 100</f>
        <v>41.666666666666671</v>
      </c>
      <c r="S7"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49.600743290345719</v>
      </c>
    </row>
    <row r="8" spans="1:19">
      <c r="A8" s="46" t="s">
        <v>31</v>
      </c>
      <c r="B8" s="44" t="s">
        <v>32</v>
      </c>
      <c r="C8" s="44" t="s">
        <v>33</v>
      </c>
      <c r="D8" s="24">
        <f>VLOOKUP('All Cities WCS'!B8,USA_Metro_Population_Lookup[#All],2,FALSE)</f>
        <v>2302815</v>
      </c>
      <c r="E8" s="72">
        <f>(All_Cities_WCS[[#This Row],[Metro Population 2024]] - MIN(All_Cities_WCS[Metro Population 2024]))/(MAX(All_Cities_WCS[Metro Population 2024]) - MIN(All_Cities_WCS[Metro Population 2024])) * 100</f>
        <v>7.0442811242558525</v>
      </c>
      <c r="F8" s="17">
        <f>VLOOKUP('All Cities WCS'!B8,USA_Metro_Population_Lookup[#All],3,FALSE)</f>
        <v>2.36</v>
      </c>
      <c r="G8" s="37">
        <f>(All_Cities_WCS[[#This Row],[Population Growth (% Change since 2020)]] - MIN(All_Cities_WCS[Population Growth (% Change since 2020)]))/(MAX(All_Cities_WCS[Population Growth (% Change since 2020)]) - MIN(All_Cities_WCS[Population Growth (% Change since 2020)])) * 100</f>
        <v>40.773620798985419</v>
      </c>
      <c r="H8" s="24">
        <f>VLOOKUP(All_Cities_WCS[[#This Row],[City Name]],Income_Data_Lookup[#All],2,FALSE)</f>
        <v>68560</v>
      </c>
      <c r="I8" s="72">
        <f>(All_Cities_WCS[[#This Row],[Per Capita Personal Income (2023)]] - MIN(All_Cities_WCS[Per Capita Personal Income (2023)]))/(MAX(All_Cities_WCS[Per Capita Personal Income (2023)]) - MIN(All_Cities_WCS[Per Capita Personal Income (2023)])) * 100</f>
        <v>15.359690682350379</v>
      </c>
      <c r="J8" s="17">
        <f>VLOOKUP(All_Cities_WCS[[#This Row],[City Name]],Nielsen_TV_Market_Lookup[#All],2,FALSE)</f>
        <v>38</v>
      </c>
      <c r="K8" s="37">
        <f>(All_Cities_WCS[[#This Row],[Nielsen TV Market Rank]] - MAX(All_Cities_WCS[Nielsen TV Market Rank]))/(MIN(All_Cities_WCS[Nielsen TV Market Rank]) - MAX(All_Cities_WCS[Nielsen TV Market Rank])) * 100</f>
        <v>49.315068493150683</v>
      </c>
      <c r="L8" s="17">
        <f>VLOOKUP(All_Cities_WCS[[#This Row],[City Name]],Google_Trend_Score[#All],2,FALSE)</f>
        <v>43</v>
      </c>
      <c r="M8" s="37">
        <f>(All_Cities_WCS[[#This Row],[NBA Google Analytic Trend Score (0-100)]] - MIN(All_Cities_WCS[NBA Google Analytic Trend Score (0-100)]))/(MAX(All_Cities_WCS[NBA Google Analytic Trend Score (0-100)]) - MIN(All_Cities_WCS[NBA Google Analytic Trend Score (0-100)])) * 100</f>
        <v>15.09433962264151</v>
      </c>
      <c r="N8" s="17">
        <f>VLOOKUP(All_Cities_WCS[[#This Row],[City Name]],Demographic_Data_Lookup12[#All],2,FALSE)</f>
        <v>39.5</v>
      </c>
      <c r="O8"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24.489795918367342</v>
      </c>
      <c r="P8" s="17">
        <v>100</v>
      </c>
      <c r="Q8" s="25">
        <f>COUNTIF(Fortune_500_Companies_Lookup[City],All_Cities_WCS[[#This Row],[City Name]])</f>
        <v>8</v>
      </c>
      <c r="R8" s="91">
        <f>All_Cities_WCS[[#This Row],[Fortune 500 HQ''s]]/72 * 100</f>
        <v>11.111111111111111</v>
      </c>
      <c r="S8"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29.829884461578608</v>
      </c>
    </row>
    <row r="9" spans="1:19">
      <c r="A9" s="23" t="s">
        <v>105</v>
      </c>
      <c r="B9" s="17" t="s">
        <v>106</v>
      </c>
      <c r="C9" s="44" t="s">
        <v>33</v>
      </c>
      <c r="D9" s="24">
        <f>VLOOKUP('All Cities WCS'!B9,USA_Metro_Population_Lookup[#All],2,FALSE)</f>
        <v>2171877</v>
      </c>
      <c r="E9" s="72">
        <f>(All_Cities_WCS[[#This Row],[Metro Population 2024]] - MIN(All_Cities_WCS[Metro Population 2024]))/(MAX(All_Cities_WCS[Metro Population 2024]) - MIN(All_Cities_WCS[Metro Population 2024])) * 100</f>
        <v>6.3541910201114744</v>
      </c>
      <c r="F9" s="17">
        <f>VLOOKUP('All Cities WCS'!B9,USA_Metro_Population_Lookup[#All],3,FALSE)</f>
        <v>-0.64</v>
      </c>
      <c r="G9" s="37">
        <f>(All_Cities_WCS[[#This Row],[Population Growth (% Change since 2020)]] - MIN(All_Cities_WCS[Population Growth (% Change since 2020)]))/(MAX(All_Cities_WCS[Population Growth (% Change since 2020)]) - MIN(All_Cities_WCS[Population Growth (% Change since 2020)])) * 100</f>
        <v>21.750158528852253</v>
      </c>
      <c r="H9" s="24">
        <f>VLOOKUP(All_Cities_WCS[[#This Row],[City Name]],Income_Data_Lookup[#All],2,FALSE)</f>
        <v>67451</v>
      </c>
      <c r="I9" s="72">
        <f>(All_Cities_WCS[[#This Row],[Per Capita Personal Income (2023)]] - MIN(All_Cities_WCS[Per Capita Personal Income (2023)]))/(MAX(All_Cities_WCS[Per Capita Personal Income (2023)]) - MIN(All_Cities_WCS[Per Capita Personal Income (2023)])) * 100</f>
        <v>13.849861133801667</v>
      </c>
      <c r="J9" s="17">
        <f>VLOOKUP(All_Cities_WCS[[#This Row],[City Name]],Nielsen_TV_Market_Lookup[#All],2,FALSE)</f>
        <v>20</v>
      </c>
      <c r="K9" s="37">
        <f>(All_Cities_WCS[[#This Row],[Nielsen TV Market Rank]] - MAX(All_Cities_WCS[Nielsen TV Market Rank]))/(MIN(All_Cities_WCS[Nielsen TV Market Rank]) - MAX(All_Cities_WCS[Nielsen TV Market Rank])) * 100</f>
        <v>73.972602739726028</v>
      </c>
      <c r="L9" s="17">
        <f>VLOOKUP(All_Cities_WCS[[#This Row],[City Name]],Google_Trend_Score[#All],2,FALSE)</f>
        <v>75</v>
      </c>
      <c r="M9" s="37">
        <f>(All_Cities_WCS[[#This Row],[NBA Google Analytic Trend Score (0-100)]] - MIN(All_Cities_WCS[NBA Google Analytic Trend Score (0-100)]))/(MAX(All_Cities_WCS[NBA Google Analytic Trend Score (0-100)]) - MIN(All_Cities_WCS[NBA Google Analytic Trend Score (0-100)])) * 100</f>
        <v>75.471698113207552</v>
      </c>
      <c r="N9" s="17">
        <f>VLOOKUP(All_Cities_WCS[[#This Row],[City Name]],Demographic_Data_Lookup12[#All],2,FALSE)</f>
        <v>37.200000000000003</v>
      </c>
      <c r="O9"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1.020408163265321</v>
      </c>
      <c r="P9" s="17">
        <v>100</v>
      </c>
      <c r="Q9" s="25">
        <f>COUNTIF(Fortune_500_Companies_Lookup[City],All_Cities_WCS[[#This Row],[City Name]])</f>
        <v>9</v>
      </c>
      <c r="R9" s="91">
        <f>All_Cities_WCS[[#This Row],[Fortune 500 HQ''s]]/72 * 100</f>
        <v>12.5</v>
      </c>
      <c r="S9"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32.907312055040279</v>
      </c>
    </row>
    <row r="10" spans="1:19">
      <c r="A10" s="23" t="s">
        <v>35</v>
      </c>
      <c r="B10" s="17" t="s">
        <v>36</v>
      </c>
      <c r="C10" s="44" t="s">
        <v>33</v>
      </c>
      <c r="D10" s="24">
        <f>VLOOKUP('All Cities WCS'!B10,USA_Metro_Population_Lookup[#All],2,FALSE)</f>
        <v>2225377</v>
      </c>
      <c r="E10" s="72">
        <f>(All_Cities_WCS[[#This Row],[Metro Population 2024]] - MIN(All_Cities_WCS[Metro Population 2024]))/(MAX(All_Cities_WCS[Metro Population 2024]) - MIN(All_Cities_WCS[Metro Population 2024])) * 100</f>
        <v>6.636155160175659</v>
      </c>
      <c r="F10" s="17">
        <f>VLOOKUP('All Cities WCS'!B10,USA_Metro_Population_Lookup[#All],3,FALSE)</f>
        <v>4.04</v>
      </c>
      <c r="G10" s="37">
        <f>(All_Cities_WCS[[#This Row],[Population Growth (% Change since 2020)]] - MIN(All_Cities_WCS[Population Growth (% Change since 2020)]))/(MAX(All_Cities_WCS[Population Growth (% Change since 2020)]) - MIN(All_Cities_WCS[Population Growth (% Change since 2020)])) * 100</f>
        <v>51.426759670259983</v>
      </c>
      <c r="H10" s="24">
        <f>VLOOKUP(All_Cities_WCS[[#This Row],[City Name]],Income_Data_Lookup[#All],2,FALSE)</f>
        <v>65277</v>
      </c>
      <c r="I10" s="72">
        <f>(All_Cities_WCS[[#This Row],[Per Capita Personal Income (2023)]] - MIN(All_Cities_WCS[Per Capita Personal Income (2023)]))/(MAX(All_Cities_WCS[Per Capita Personal Income (2023)]) - MIN(All_Cities_WCS[Per Capita Personal Income (2023)])) * 100</f>
        <v>10.890105102652072</v>
      </c>
      <c r="J10" s="17">
        <f>VLOOKUP(All_Cities_WCS[[#This Row],[City Name]],Nielsen_TV_Market_Lookup[#All],2,FALSE)</f>
        <v>36</v>
      </c>
      <c r="K10" s="37">
        <f>(All_Cities_WCS[[#This Row],[Nielsen TV Market Rank]] - MAX(All_Cities_WCS[Nielsen TV Market Rank]))/(MIN(All_Cities_WCS[Nielsen TV Market Rank]) - MAX(All_Cities_WCS[Nielsen TV Market Rank])) * 100</f>
        <v>52.054794520547944</v>
      </c>
      <c r="L10" s="17">
        <f>VLOOKUP(All_Cities_WCS[[#This Row],[City Name]],Google_Trend_Score[#All],2,FALSE)</f>
        <v>50</v>
      </c>
      <c r="M10" s="37">
        <f>(All_Cities_WCS[[#This Row],[NBA Google Analytic Trend Score (0-100)]] - MIN(All_Cities_WCS[NBA Google Analytic Trend Score (0-100)]))/(MAX(All_Cities_WCS[NBA Google Analytic Trend Score (0-100)]) - MIN(All_Cities_WCS[NBA Google Analytic Trend Score (0-100)])) * 100</f>
        <v>28.30188679245283</v>
      </c>
      <c r="N10" s="17">
        <f>VLOOKUP(All_Cities_WCS[[#This Row],[City Name]],Demographic_Data_Lookup12[#All],2,FALSE)</f>
        <v>42.2</v>
      </c>
      <c r="O10"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52.040816326530638</v>
      </c>
      <c r="P10" s="17">
        <v>100</v>
      </c>
      <c r="Q10" s="25">
        <f>COUNTIF(Fortune_500_Companies_Lookup[City],All_Cities_WCS[[#This Row],[City Name]])</f>
        <v>5</v>
      </c>
      <c r="R10" s="91">
        <f>All_Cities_WCS[[#This Row],[Fortune 500 HQ''s]]/72 * 100</f>
        <v>6.9444444444444446</v>
      </c>
      <c r="S10"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34.608954956369523</v>
      </c>
    </row>
    <row r="11" spans="1:19">
      <c r="A11" s="46" t="s">
        <v>109</v>
      </c>
      <c r="B11" s="44" t="s">
        <v>110</v>
      </c>
      <c r="C11" s="17" t="s">
        <v>28</v>
      </c>
      <c r="D11" s="24">
        <f>VLOOKUP('All Cities WCS'!B11,USA_Metro_Population_Lookup[#All],2,FALSE)</f>
        <v>8344032</v>
      </c>
      <c r="E11" s="72">
        <f>(All_Cities_WCS[[#This Row],[Metro Population 2024]] - MIN(All_Cities_WCS[Metro Population 2024]))/(MAX(All_Cities_WCS[Metro Population 2024]) - MIN(All_Cities_WCS[Metro Population 2024])) * 100</f>
        <v>38.883656009230293</v>
      </c>
      <c r="F11" s="17">
        <f>VLOOKUP('All Cities WCS'!B11,USA_Metro_Population_Lookup[#All],3,FALSE)</f>
        <v>9.25</v>
      </c>
      <c r="G11" s="37">
        <f>(All_Cities_WCS[[#This Row],[Population Growth (% Change since 2020)]] - MIN(All_Cities_WCS[Population Growth (% Change since 2020)]))/(MAX(All_Cities_WCS[Population Growth (% Change since 2020)]) - MIN(All_Cities_WCS[Population Growth (% Change since 2020)])) * 100</f>
        <v>84.464172479391252</v>
      </c>
      <c r="H11" s="24">
        <f>VLOOKUP(All_Cities_WCS[[#This Row],[City Name]],Income_Data_Lookup[#All],2,FALSE)</f>
        <v>74165</v>
      </c>
      <c r="I11" s="72">
        <f>(All_Cities_WCS[[#This Row],[Per Capita Personal Income (2023)]] - MIN(All_Cities_WCS[Per Capita Personal Income (2023)]))/(MAX(All_Cities_WCS[Per Capita Personal Income (2023)]) - MIN(All_Cities_WCS[Per Capita Personal Income (2023)])) * 100</f>
        <v>22.990524424113705</v>
      </c>
      <c r="J11" s="17">
        <f>VLOOKUP(All_Cities_WCS[[#This Row],[City Name]],Nielsen_TV_Market_Lookup[#All],2,FALSE)</f>
        <v>4</v>
      </c>
      <c r="K11" s="37">
        <f>(All_Cities_WCS[[#This Row],[Nielsen TV Market Rank]] - MAX(All_Cities_WCS[Nielsen TV Market Rank]))/(MIN(All_Cities_WCS[Nielsen TV Market Rank]) - MAX(All_Cities_WCS[Nielsen TV Market Rank])) * 100</f>
        <v>95.890410958904098</v>
      </c>
      <c r="L11" s="17">
        <f>VLOOKUP(All_Cities_WCS[[#This Row],[City Name]],Google_Trend_Score[#All],2,FALSE)</f>
        <v>57</v>
      </c>
      <c r="M11" s="37">
        <f>(All_Cities_WCS[[#This Row],[NBA Google Analytic Trend Score (0-100)]] - MIN(All_Cities_WCS[NBA Google Analytic Trend Score (0-100)]))/(MAX(All_Cities_WCS[NBA Google Analytic Trend Score (0-100)]) - MIN(All_Cities_WCS[NBA Google Analytic Trend Score (0-100)])) * 100</f>
        <v>41.509433962264154</v>
      </c>
      <c r="N11" s="17">
        <f>VLOOKUP(All_Cities_WCS[[#This Row],[City Name]],Demographic_Data_Lookup12[#All],2,FALSE)</f>
        <v>43.2</v>
      </c>
      <c r="O11"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62.24489795918371</v>
      </c>
      <c r="P11" s="17">
        <v>100</v>
      </c>
      <c r="Q11" s="25">
        <f>COUNTIF(Fortune_500_Companies_Lookup[City],All_Cities_WCS[[#This Row],[City Name]])</f>
        <v>21</v>
      </c>
      <c r="R11" s="91">
        <f>All_Cities_WCS[[#This Row],[Fortune 500 HQ''s]]/72 * 100</f>
        <v>29.166666666666668</v>
      </c>
      <c r="S11"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56.776076692073666</v>
      </c>
    </row>
    <row r="12" spans="1:19">
      <c r="A12" s="23" t="s">
        <v>113</v>
      </c>
      <c r="B12" s="17" t="s">
        <v>114</v>
      </c>
      <c r="C12" s="44" t="s">
        <v>43</v>
      </c>
      <c r="D12" s="24">
        <f>VLOOKUP('All Cities WCS'!B12,USA_Metro_Population_Lookup[#All],2,FALSE)</f>
        <v>3052498</v>
      </c>
      <c r="E12" s="72">
        <f>(All_Cities_WCS[[#This Row],[Metro Population 2024]] - MIN(All_Cities_WCS[Metro Population 2024]))/(MAX(All_Cities_WCS[Metro Population 2024]) - MIN(All_Cities_WCS[Metro Population 2024])) * 100</f>
        <v>10.995378739503291</v>
      </c>
      <c r="F12" s="17">
        <f>VLOOKUP('All Cities WCS'!B12,USA_Metro_Population_Lookup[#All],3,FALSE)</f>
        <v>2.99</v>
      </c>
      <c r="G12" s="37">
        <f>(All_Cities_WCS[[#This Row],[Population Growth (% Change since 2020)]] - MIN(All_Cities_WCS[Population Growth (% Change since 2020)]))/(MAX(All_Cities_WCS[Population Growth (% Change since 2020)]) - MIN(All_Cities_WCS[Population Growth (% Change since 2020)])) * 100</f>
        <v>44.768547875713381</v>
      </c>
      <c r="H12" s="24">
        <f>VLOOKUP(All_Cities_WCS[[#This Row],[City Name]],Income_Data_Lookup[#All],2,FALSE)</f>
        <v>89297</v>
      </c>
      <c r="I12" s="72">
        <f>(All_Cities_WCS[[#This Row],[Per Capita Personal Income (2023)]] - MIN(All_Cities_WCS[Per Capita Personal Income (2023)]))/(MAX(All_Cities_WCS[Per Capita Personal Income (2023)]) - MIN(All_Cities_WCS[Per Capita Personal Income (2023)])) * 100</f>
        <v>43.591733376899199</v>
      </c>
      <c r="J12" s="17">
        <f>VLOOKUP(All_Cities_WCS[[#This Row],[City Name]],Nielsen_TV_Market_Lookup[#All],2,FALSE)</f>
        <v>18</v>
      </c>
      <c r="K12" s="37">
        <f>(All_Cities_WCS[[#This Row],[Nielsen TV Market Rank]] - MAX(All_Cities_WCS[Nielsen TV Market Rank]))/(MIN(All_Cities_WCS[Nielsen TV Market Rank]) - MAX(All_Cities_WCS[Nielsen TV Market Rank])) * 100</f>
        <v>76.712328767123282</v>
      </c>
      <c r="L12" s="17">
        <f>VLOOKUP(All_Cities_WCS[[#This Row],[City Name]],Google_Trend_Score[#All],2,FALSE)</f>
        <v>57</v>
      </c>
      <c r="M12" s="37">
        <f>(All_Cities_WCS[[#This Row],[NBA Google Analytic Trend Score (0-100)]] - MIN(All_Cities_WCS[NBA Google Analytic Trend Score (0-100)]))/(MAX(All_Cities_WCS[NBA Google Analytic Trend Score (0-100)]) - MIN(All_Cities_WCS[NBA Google Analytic Trend Score (0-100)])) * 100</f>
        <v>41.509433962264154</v>
      </c>
      <c r="N12" s="17">
        <f>VLOOKUP(All_Cities_WCS[[#This Row],[City Name]],Demographic_Data_Lookup12[#All],2,FALSE)</f>
        <v>44.7</v>
      </c>
      <c r="O12"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77.551020408163311</v>
      </c>
      <c r="P12" s="17">
        <v>100</v>
      </c>
      <c r="Q12" s="25">
        <f>COUNTIF(Fortune_500_Companies_Lookup[City],All_Cities_WCS[[#This Row],[City Name]])</f>
        <v>8</v>
      </c>
      <c r="R12" s="91">
        <f>All_Cities_WCS[[#This Row],[Fortune 500 HQ''s]]/72 * 100</f>
        <v>11.111111111111111</v>
      </c>
      <c r="S12"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46.141507360658736</v>
      </c>
    </row>
    <row r="13" spans="1:19">
      <c r="A13" s="46" t="s">
        <v>117</v>
      </c>
      <c r="B13" s="44" t="s">
        <v>118</v>
      </c>
      <c r="C13" s="44" t="s">
        <v>33</v>
      </c>
      <c r="D13" s="24">
        <f>VLOOKUP('All Cities WCS'!B13,USA_Metro_Population_Lookup[#All],2,FALSE)</f>
        <v>4400578</v>
      </c>
      <c r="E13" s="72">
        <f>(All_Cities_WCS[[#This Row],[Metro Population 2024]] - MIN(All_Cities_WCS[Metro Population 2024]))/(MAX(All_Cities_WCS[Metro Population 2024]) - MIN(All_Cities_WCS[Metro Population 2024])) * 100</f>
        <v>18.100242626189758</v>
      </c>
      <c r="F13" s="17">
        <f>VLOOKUP('All Cities WCS'!B13,USA_Metro_Population_Lookup[#All],3,FALSE)</f>
        <v>0.19</v>
      </c>
      <c r="G13" s="37">
        <f>(All_Cities_WCS[[#This Row],[Population Growth (% Change since 2020)]] - MIN(All_Cities_WCS[Population Growth (% Change since 2020)]))/(MAX(All_Cities_WCS[Population Growth (% Change since 2020)]) - MIN(All_Cities_WCS[Population Growth (% Change since 2020)])) * 100</f>
        <v>27.013316423589096</v>
      </c>
      <c r="H13" s="24">
        <f>VLOOKUP(All_Cities_WCS[[#This Row],[City Name]],Income_Data_Lookup[#All],2,FALSE)</f>
        <v>66098</v>
      </c>
      <c r="I13" s="72">
        <f>(All_Cities_WCS[[#This Row],[Per Capita Personal Income (2023)]] - MIN(All_Cities_WCS[Per Capita Personal Income (2023)]))/(MAX(All_Cities_WCS[Per Capita Personal Income (2023)]) - MIN(All_Cities_WCS[Per Capita Personal Income (2023)])) * 100</f>
        <v>12.007841855905896</v>
      </c>
      <c r="J13" s="17">
        <f>VLOOKUP(All_Cities_WCS[[#This Row],[City Name]],Nielsen_TV_Market_Lookup[#All],2,FALSE)</f>
        <v>15</v>
      </c>
      <c r="K13" s="37">
        <f>(All_Cities_WCS[[#This Row],[Nielsen TV Market Rank]] - MAX(All_Cities_WCS[Nielsen TV Market Rank]))/(MIN(All_Cities_WCS[Nielsen TV Market Rank]) - MAX(All_Cities_WCS[Nielsen TV Market Rank])) * 100</f>
        <v>80.821917808219183</v>
      </c>
      <c r="L13" s="17">
        <f>VLOOKUP(All_Cities_WCS[[#This Row],[City Name]],Google_Trend_Score[#All],2,FALSE)</f>
        <v>58</v>
      </c>
      <c r="M13" s="37">
        <f>(All_Cities_WCS[[#This Row],[NBA Google Analytic Trend Score (0-100)]] - MIN(All_Cities_WCS[NBA Google Analytic Trend Score (0-100)]))/(MAX(All_Cities_WCS[NBA Google Analytic Trend Score (0-100)]) - MIN(All_Cities_WCS[NBA Google Analytic Trend Score (0-100)])) * 100</f>
        <v>43.39622641509434</v>
      </c>
      <c r="N13" s="17">
        <f>VLOOKUP(All_Cities_WCS[[#This Row],[City Name]],Demographic_Data_Lookup12[#All],2,FALSE)</f>
        <v>37.9</v>
      </c>
      <c r="O13"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8.1632653061224225</v>
      </c>
      <c r="P13" s="17">
        <v>100</v>
      </c>
      <c r="Q13" s="25">
        <f>COUNTIF(Fortune_500_Companies_Lookup[City],All_Cities_WCS[[#This Row],[City Name]])</f>
        <v>9</v>
      </c>
      <c r="R13" s="91">
        <f>All_Cities_WCS[[#This Row],[Fortune 500 HQ''s]]/72 * 100</f>
        <v>12.5</v>
      </c>
      <c r="S13"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33.961363220105795</v>
      </c>
    </row>
    <row r="14" spans="1:19">
      <c r="A14" s="46" t="s">
        <v>125</v>
      </c>
      <c r="B14" s="44" t="s">
        <v>126</v>
      </c>
      <c r="C14" s="17" t="s">
        <v>28</v>
      </c>
      <c r="D14" s="24">
        <f>VLOOKUP('All Cities WCS'!B14,USA_Metro_Population_Lookup[#All],2,FALSE)</f>
        <v>7796182</v>
      </c>
      <c r="E14" s="72">
        <f>(All_Cities_WCS[[#This Row],[Metro Population 2024]] - MIN(All_Cities_WCS[Metro Population 2024]))/(MAX(All_Cities_WCS[Metro Population 2024]) - MIN(All_Cities_WCS[Metro Population 2024])) * 100</f>
        <v>35.996290511395465</v>
      </c>
      <c r="F14" s="17">
        <f>VLOOKUP('All Cities WCS'!B14,USA_Metro_Population_Lookup[#All],3,FALSE)</f>
        <v>9.0399999999999991</v>
      </c>
      <c r="G14" s="37">
        <f>(All_Cities_WCS[[#This Row],[Population Growth (% Change since 2020)]] - MIN(All_Cities_WCS[Population Growth (% Change since 2020)]))/(MAX(All_Cities_WCS[Population Growth (% Change since 2020)]) - MIN(All_Cities_WCS[Population Growth (% Change since 2020)])) * 100</f>
        <v>83.132530120481931</v>
      </c>
      <c r="H14" s="24">
        <f>VLOOKUP(All_Cities_WCS[[#This Row],[City Name]],Income_Data_Lookup[#All],2,FALSE)</f>
        <v>72453</v>
      </c>
      <c r="I14" s="72">
        <f>(All_Cities_WCS[[#This Row],[Per Capita Personal Income (2023)]] - MIN(All_Cities_WCS[Per Capita Personal Income (2023)]))/(MAX(All_Cities_WCS[Per Capita Personal Income (2023)]) - MIN(All_Cities_WCS[Per Capita Personal Income (2023)])) * 100</f>
        <v>20.659750585416326</v>
      </c>
      <c r="J14" s="17">
        <f>VLOOKUP(All_Cities_WCS[[#This Row],[City Name]],Nielsen_TV_Market_Lookup[#All],2,FALSE)</f>
        <v>6</v>
      </c>
      <c r="K14" s="37">
        <f>(All_Cities_WCS[[#This Row],[Nielsen TV Market Rank]] - MAX(All_Cities_WCS[Nielsen TV Market Rank]))/(MIN(All_Cities_WCS[Nielsen TV Market Rank]) - MAX(All_Cities_WCS[Nielsen TV Market Rank])) * 100</f>
        <v>93.150684931506845</v>
      </c>
      <c r="L14" s="17">
        <f>VLOOKUP(All_Cities_WCS[[#This Row],[City Name]],Google_Trend_Score[#All],2,FALSE)</f>
        <v>54</v>
      </c>
      <c r="M14" s="37">
        <f>(All_Cities_WCS[[#This Row],[NBA Google Analytic Trend Score (0-100)]] - MIN(All_Cities_WCS[NBA Google Analytic Trend Score (0-100)]))/(MAX(All_Cities_WCS[NBA Google Analytic Trend Score (0-100)]) - MIN(All_Cities_WCS[NBA Google Analytic Trend Score (0-100)])) * 100</f>
        <v>35.849056603773583</v>
      </c>
      <c r="N14" s="17">
        <f>VLOOKUP(All_Cities_WCS[[#This Row],[City Name]],Demographic_Data_Lookup12[#All],2,FALSE)</f>
        <v>42.6</v>
      </c>
      <c r="O14"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56.122448979591852</v>
      </c>
      <c r="P14" s="17">
        <v>100</v>
      </c>
      <c r="Q14" s="25">
        <f>COUNTIF(Fortune_500_Companies_Lookup[City],All_Cities_WCS[[#This Row],[City Name]])</f>
        <v>26</v>
      </c>
      <c r="R14" s="91">
        <f>All_Cities_WCS[[#This Row],[Fortune 500 HQ''s]]/72 * 100</f>
        <v>36.111111111111107</v>
      </c>
      <c r="S14"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54.891430370762166</v>
      </c>
    </row>
    <row r="15" spans="1:19">
      <c r="A15" s="23" t="s">
        <v>129</v>
      </c>
      <c r="B15" s="17" t="s">
        <v>130</v>
      </c>
      <c r="C15" s="44" t="s">
        <v>33</v>
      </c>
      <c r="D15" s="24">
        <f>VLOOKUP('All Cities WCS'!B15,USA_Metro_Population_Lookup[#All],2,FALSE)</f>
        <v>2174833</v>
      </c>
      <c r="E15" s="72">
        <f>(All_Cities_WCS[[#This Row],[Metro Population 2024]] - MIN(All_Cities_WCS[Metro Population 2024]))/(MAX(All_Cities_WCS[Metro Population 2024]) - MIN(All_Cities_WCS[Metro Population 2024])) * 100</f>
        <v>6.3697701976447405</v>
      </c>
      <c r="F15" s="17">
        <f>VLOOKUP('All Cities WCS'!B15,USA_Metro_Population_Lookup[#All],3,FALSE)</f>
        <v>4.08</v>
      </c>
      <c r="G15" s="37">
        <f>(All_Cities_WCS[[#This Row],[Population Growth (% Change since 2020)]] - MIN(All_Cities_WCS[Population Growth (% Change since 2020)]))/(MAX(All_Cities_WCS[Population Growth (% Change since 2020)]) - MIN(All_Cities_WCS[Population Growth (% Change since 2020)])) * 100</f>
        <v>51.680405833861762</v>
      </c>
      <c r="H15" s="24">
        <f>VLOOKUP(All_Cities_WCS[[#This Row],[City Name]],Income_Data_Lookup[#All],2,FALSE)</f>
        <v>72494</v>
      </c>
      <c r="I15" s="72">
        <f>(All_Cities_WCS[[#This Row],[Per Capita Personal Income (2023)]] - MIN(All_Cities_WCS[Per Capita Personal Income (2023)]))/(MAX(All_Cities_WCS[Per Capita Personal Income (2023)]) - MIN(All_Cities_WCS[Per Capita Personal Income (2023)])) * 100</f>
        <v>20.715569351413169</v>
      </c>
      <c r="J15" s="17">
        <f>VLOOKUP(All_Cities_WCS[[#This Row],[City Name]],Nielsen_TV_Market_Lookup[#All],2,FALSE)</f>
        <v>26</v>
      </c>
      <c r="K15" s="37">
        <f>(All_Cities_WCS[[#This Row],[Nielsen TV Market Rank]] - MAX(All_Cities_WCS[Nielsen TV Market Rank]))/(MIN(All_Cities_WCS[Nielsen TV Market Rank]) - MAX(All_Cities_WCS[Nielsen TV Market Rank])) * 100</f>
        <v>65.753424657534239</v>
      </c>
      <c r="L15" s="17">
        <f>VLOOKUP(All_Cities_WCS[[#This Row],[City Name]],Google_Trend_Score[#All],2,FALSE)</f>
        <v>65</v>
      </c>
      <c r="M15" s="37">
        <f>(All_Cities_WCS[[#This Row],[NBA Google Analytic Trend Score (0-100)]] - MIN(All_Cities_WCS[NBA Google Analytic Trend Score (0-100)]))/(MAX(All_Cities_WCS[NBA Google Analytic Trend Score (0-100)]) - MIN(All_Cities_WCS[NBA Google Analytic Trend Score (0-100)])) * 100</f>
        <v>56.60377358490566</v>
      </c>
      <c r="N15" s="17">
        <f>VLOOKUP(All_Cities_WCS[[#This Row],[City Name]],Demographic_Data_Lookup12[#All],2,FALSE)</f>
        <v>41</v>
      </c>
      <c r="O15"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39.795918367346935</v>
      </c>
      <c r="P15" s="17">
        <v>100</v>
      </c>
      <c r="Q15" s="25">
        <f>COUNTIF(Fortune_500_Companies_Lookup[City],All_Cities_WCS[[#This Row],[City Name]])</f>
        <v>3</v>
      </c>
      <c r="R15" s="91">
        <f>All_Cities_WCS[[#This Row],[Fortune 500 HQ''s]]/72 * 100</f>
        <v>4.1666666666666661</v>
      </c>
      <c r="S15"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38.765328644965543</v>
      </c>
    </row>
    <row r="16" spans="1:19">
      <c r="A16" s="46" t="s">
        <v>38</v>
      </c>
      <c r="B16" s="44" t="s">
        <v>39</v>
      </c>
      <c r="C16" s="44" t="s">
        <v>28</v>
      </c>
      <c r="D16" s="24">
        <f>VLOOKUP('All Cities WCS'!B16,USA_Metro_Population_Lookup[#All],2,FALSE)</f>
        <v>1760548</v>
      </c>
      <c r="E16" s="72">
        <f>(All_Cities_WCS[[#This Row],[Metro Population 2024]] - MIN(All_Cities_WCS[Metro Population 2024]))/(MAX(All_Cities_WCS[Metro Population 2024]) - MIN(All_Cities_WCS[Metro Population 2024])) * 100</f>
        <v>4.1863400337851013</v>
      </c>
      <c r="F16" s="17">
        <f>VLOOKUP('All Cities WCS'!B16,USA_Metro_Population_Lookup[#All],3,FALSE)</f>
        <v>9.6300000000000008</v>
      </c>
      <c r="G16" s="37">
        <f>(All_Cities_WCS[[#This Row],[Population Growth (% Change since 2020)]] - MIN(All_Cities_WCS[Population Growth (% Change since 2020)]))/(MAX(All_Cities_WCS[Population Growth (% Change since 2020)]) - MIN(All_Cities_WCS[Population Growth (% Change since 2020)])) * 100</f>
        <v>86.873811033608135</v>
      </c>
      <c r="H16" s="24">
        <f>VLOOKUP(All_Cities_WCS[[#This Row],[City Name]],Income_Data_Lookup[#All],2,FALSE)</f>
        <v>65324</v>
      </c>
      <c r="I16" s="72">
        <f>(All_Cities_WCS[[#This Row],[Per Capita Personal Income (2023)]] - MIN(All_Cities_WCS[Per Capita Personal Income (2023)]))/(MAX(All_Cities_WCS[Per Capita Personal Income (2023)]) - MIN(All_Cities_WCS[Per Capita Personal Income (2023)])) * 100</f>
        <v>10.95409246855089</v>
      </c>
      <c r="J16" s="17">
        <f>VLOOKUP(All_Cities_WCS[[#This Row],[City Name]],Nielsen_TV_Market_Lookup[#All],2,FALSE)</f>
        <v>42</v>
      </c>
      <c r="K16" s="37">
        <f>(All_Cities_WCS[[#This Row],[Nielsen TV Market Rank]] - MAX(All_Cities_WCS[Nielsen TV Market Rank]))/(MIN(All_Cities_WCS[Nielsen TV Market Rank]) - MAX(All_Cities_WCS[Nielsen TV Market Rank])) * 100</f>
        <v>43.835616438356162</v>
      </c>
      <c r="L16" s="17">
        <f>VLOOKUP(All_Cities_WCS[[#This Row],[City Name]],Google_Trend_Score[#All],2,FALSE)</f>
        <v>43</v>
      </c>
      <c r="M16" s="37">
        <f>(All_Cities_WCS[[#This Row],[NBA Google Analytic Trend Score (0-100)]] - MIN(All_Cities_WCS[NBA Google Analytic Trend Score (0-100)]))/(MAX(All_Cities_WCS[NBA Google Analytic Trend Score (0-100)]) - MIN(All_Cities_WCS[NBA Google Analytic Trend Score (0-100)])) * 100</f>
        <v>15.09433962264151</v>
      </c>
      <c r="N16" s="17">
        <f>VLOOKUP(All_Cities_WCS[[#This Row],[City Name]],Demographic_Data_Lookup12[#All],2,FALSE)</f>
        <v>39.299999999999997</v>
      </c>
      <c r="O16"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22.4489795918367</v>
      </c>
      <c r="P16" s="17">
        <v>0</v>
      </c>
      <c r="Q16" s="25">
        <f>COUNTIF(Fortune_500_Companies_Lookup[City],All_Cities_WCS[[#This Row],[City Name]])</f>
        <v>4</v>
      </c>
      <c r="R16" s="91">
        <f>All_Cities_WCS[[#This Row],[Fortune 500 HQ''s]]/72 * 100</f>
        <v>5.5555555555555554</v>
      </c>
      <c r="S16"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24.20490265291987</v>
      </c>
    </row>
    <row r="17" spans="1:19">
      <c r="A17" s="23" t="s">
        <v>41</v>
      </c>
      <c r="B17" s="17" t="s">
        <v>42</v>
      </c>
      <c r="C17" s="44" t="s">
        <v>43</v>
      </c>
      <c r="D17" s="24">
        <f>VLOOKUP('All Cities WCS'!B17,USA_Metro_Population_Lookup[#All],2,FALSE)</f>
        <v>2253579</v>
      </c>
      <c r="E17" s="72">
        <f>(All_Cities_WCS[[#This Row],[Metro Population 2024]] - MIN(All_Cities_WCS[Metro Population 2024]))/(MAX(All_Cities_WCS[Metro Population 2024]) - MIN(All_Cities_WCS[Metro Population 2024])) * 100</f>
        <v>6.7847897896726712</v>
      </c>
      <c r="F17" s="17">
        <f>VLOOKUP('All Cities WCS'!B17,USA_Metro_Population_Lookup[#All],3,FALSE)</f>
        <v>2.81</v>
      </c>
      <c r="G17" s="37">
        <f>(All_Cities_WCS[[#This Row],[Population Growth (% Change since 2020)]] - MIN(All_Cities_WCS[Population Growth (% Change since 2020)]))/(MAX(All_Cities_WCS[Population Growth (% Change since 2020)]) - MIN(All_Cities_WCS[Population Growth (% Change since 2020)])) * 100</f>
        <v>43.627140139505393</v>
      </c>
      <c r="H17" s="24">
        <f>VLOOKUP(All_Cities_WCS[[#This Row],[City Name]],Income_Data_Lookup[#All],2,FALSE)</f>
        <v>69865</v>
      </c>
      <c r="I17" s="72">
        <f>(All_Cities_WCS[[#This Row],[Per Capita Personal Income (2023)]] - MIN(All_Cities_WCS[Per Capita Personal Income (2023)]))/(MAX(All_Cities_WCS[Per Capita Personal Income (2023)]) - MIN(All_Cities_WCS[Per Capita Personal Income (2023)])) * 100</f>
        <v>17.136361161030333</v>
      </c>
      <c r="J17" s="17">
        <f>VLOOKUP(All_Cities_WCS[[#This Row],[City Name]],Nielsen_TV_Market_Lookup[#All],2,FALSE)</f>
        <v>34</v>
      </c>
      <c r="K17" s="37">
        <f>(All_Cities_WCS[[#This Row],[Nielsen TV Market Rank]] - MAX(All_Cities_WCS[Nielsen TV Market Rank]))/(MIN(All_Cities_WCS[Nielsen TV Market Rank]) - MAX(All_Cities_WCS[Nielsen TV Market Rank])) * 100</f>
        <v>54.794520547945204</v>
      </c>
      <c r="L17" s="17">
        <f>VLOOKUP(All_Cities_WCS[[#This Row],[City Name]],Google_Trend_Score[#All],2,FALSE)</f>
        <v>38</v>
      </c>
      <c r="M17" s="37">
        <f>(All_Cities_WCS[[#This Row],[NBA Google Analytic Trend Score (0-100)]] - MIN(All_Cities_WCS[NBA Google Analytic Trend Score (0-100)]))/(MAX(All_Cities_WCS[NBA Google Analytic Trend Score (0-100)]) - MIN(All_Cities_WCS[NBA Google Analytic Trend Score (0-100)])) * 100</f>
        <v>5.6603773584905666</v>
      </c>
      <c r="N17" s="17">
        <f>VLOOKUP(All_Cities_WCS[[#This Row],[City Name]],Demographic_Data_Lookup12[#All],2,FALSE)</f>
        <v>40.299999999999997</v>
      </c>
      <c r="O17"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32.653061224489761</v>
      </c>
      <c r="P17" s="17">
        <v>100</v>
      </c>
      <c r="Q17" s="25">
        <f>COUNTIF(Fortune_500_Companies_Lookup[City],All_Cities_WCS[[#This Row],[City Name]])</f>
        <v>1</v>
      </c>
      <c r="R17" s="91">
        <f>All_Cities_WCS[[#This Row],[Fortune 500 HQ''s]]/72 * 100</f>
        <v>1.3888888888888888</v>
      </c>
      <c r="S17"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29.921167954996335</v>
      </c>
    </row>
    <row r="18" spans="1:19">
      <c r="A18" s="46" t="s">
        <v>45</v>
      </c>
      <c r="B18" s="44" t="s">
        <v>46</v>
      </c>
      <c r="C18" s="44" t="s">
        <v>23</v>
      </c>
      <c r="D18" s="24">
        <f>VLOOKUP('All Cities WCS'!B18,USA_Metro_Population_Lookup[#All],2,FALSE)</f>
        <v>2398871</v>
      </c>
      <c r="E18" s="72">
        <f>(All_Cities_WCS[[#This Row],[Metro Population 2024]] - MIN(All_Cities_WCS[Metro Population 2024]))/(MAX(All_Cities_WCS[Metro Population 2024]) - MIN(All_Cities_WCS[Metro Population 2024])) * 100</f>
        <v>7.5505306090783808</v>
      </c>
      <c r="F18" s="17">
        <f>VLOOKUP('All Cities WCS'!B18,USA_Metro_Population_Lookup[#All],3,FALSE)</f>
        <v>5.89</v>
      </c>
      <c r="G18" s="37">
        <f>(All_Cities_WCS[[#This Row],[Population Growth (% Change since 2020)]] - MIN(All_Cities_WCS[Population Growth (% Change since 2020)]))/(MAX(All_Cities_WCS[Population Growth (% Change since 2020)]) - MIN(All_Cities_WCS[Population Growth (% Change since 2020)])) * 100</f>
        <v>63.15789473684211</v>
      </c>
      <c r="H18" s="24">
        <f>VLOOKUP(All_Cities_WCS[[#This Row],[City Name]],Income_Data_Lookup[#All],2,FALSE)</f>
        <v>63767</v>
      </c>
      <c r="I18" s="72">
        <f>(All_Cities_WCS[[#This Row],[Per Capita Personal Income (2023)]] - MIN(All_Cities_WCS[Per Capita Personal Income (2023)]))/(MAX(All_Cities_WCS[Per Capita Personal Income (2023)]) - MIN(All_Cities_WCS[Per Capita Personal Income (2023)])) * 100</f>
        <v>8.8343407939879111</v>
      </c>
      <c r="J18" s="17">
        <f>VLOOKUP(All_Cities_WCS[[#This Row],[City Name]],Nielsen_TV_Market_Lookup[#All],2,FALSE)</f>
        <v>41</v>
      </c>
      <c r="K18" s="37">
        <f>(All_Cities_WCS[[#This Row],[Nielsen TV Market Rank]] - MAX(All_Cities_WCS[Nielsen TV Market Rank]))/(MIN(All_Cities_WCS[Nielsen TV Market Rank]) - MAX(All_Cities_WCS[Nielsen TV Market Rank])) * 100</f>
        <v>45.205479452054789</v>
      </c>
      <c r="L18" s="17">
        <f>VLOOKUP(All_Cities_WCS[[#This Row],[City Name]],Google_Trend_Score[#All],2,FALSE)</f>
        <v>70</v>
      </c>
      <c r="M18" s="37">
        <f>(All_Cities_WCS[[#This Row],[NBA Google Analytic Trend Score (0-100)]] - MIN(All_Cities_WCS[NBA Google Analytic Trend Score (0-100)]))/(MAX(All_Cities_WCS[NBA Google Analytic Trend Score (0-100)]) - MIN(All_Cities_WCS[NBA Google Analytic Trend Score (0-100)])) * 100</f>
        <v>66.037735849056602</v>
      </c>
      <c r="N18" s="17">
        <f>VLOOKUP(All_Cities_WCS[[#This Row],[City Name]],Demographic_Data_Lookup12[#All],2,FALSE)</f>
        <v>40.9</v>
      </c>
      <c r="O18"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38.775510204081613</v>
      </c>
      <c r="P18" s="17">
        <v>100</v>
      </c>
      <c r="Q18" s="25">
        <f>COUNTIF(Fortune_500_Companies_Lookup[City],All_Cities_WCS[[#This Row],[City Name]])</f>
        <v>2</v>
      </c>
      <c r="R18" s="91">
        <f>All_Cities_WCS[[#This Row],[Fortune 500 HQ''s]]/72 * 100</f>
        <v>2.7777777777777777</v>
      </c>
      <c r="S18"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37.588591779737264</v>
      </c>
    </row>
    <row r="19" spans="1:19">
      <c r="A19" s="46" t="s">
        <v>133</v>
      </c>
      <c r="B19" s="44" t="s">
        <v>134</v>
      </c>
      <c r="C19" s="44" t="s">
        <v>23</v>
      </c>
      <c r="D19" s="24">
        <f>VLOOKUP('All Cities WCS'!B19,USA_Metro_Population_Lookup[#All],2,FALSE)</f>
        <v>17671828</v>
      </c>
      <c r="E19" s="72">
        <f>(All_Cities_WCS[[#This Row],[Metro Population 2024]] - MIN(All_Cities_WCS[Metro Population 2024]))/(MAX(All_Cities_WCS[Metro Population 2024]) - MIN(All_Cities_WCS[Metro Population 2024])) * 100</f>
        <v>88.0444780248217</v>
      </c>
      <c r="F19" s="17">
        <f>VLOOKUP('All Cities WCS'!B19,USA_Metro_Population_Lookup[#All],3,FALSE)</f>
        <v>-2.0699999999999998</v>
      </c>
      <c r="G19" s="37">
        <f>(All_Cities_WCS[[#This Row],[Population Growth (% Change since 2020)]] - MIN(All_Cities_WCS[Population Growth (% Change since 2020)]))/(MAX(All_Cities_WCS[Population Growth (% Change since 2020)]) - MIN(All_Cities_WCS[Population Growth (% Change since 2020)])) * 100</f>
        <v>12.68230818008878</v>
      </c>
      <c r="H19" s="24">
        <f>VLOOKUP(All_Cities_WCS[[#This Row],[City Name]],Income_Data_Lookup[#All],2,FALSE)</f>
        <v>80898</v>
      </c>
      <c r="I19" s="72">
        <f>(All_Cities_WCS[[#This Row],[Per Capita Personal Income (2023)]] - MIN(All_Cities_WCS[Per Capita Personal Income (2023)]))/(MAX(All_Cities_WCS[Per Capita Personal Income (2023)]) - MIN(All_Cities_WCS[Per Capita Personal Income (2023)])) * 100</f>
        <v>32.157054947448678</v>
      </c>
      <c r="J19" s="17">
        <f>VLOOKUP(All_Cities_WCS[[#This Row],[City Name]],Nielsen_TV_Market_Lookup[#All],2,FALSE)</f>
        <v>2</v>
      </c>
      <c r="K19" s="37">
        <f>(All_Cities_WCS[[#This Row],[Nielsen TV Market Rank]] - MAX(All_Cities_WCS[Nielsen TV Market Rank]))/(MIN(All_Cities_WCS[Nielsen TV Market Rank]) - MAX(All_Cities_WCS[Nielsen TV Market Rank])) * 100</f>
        <v>98.630136986301366</v>
      </c>
      <c r="L19" s="17">
        <f>VLOOKUP(All_Cities_WCS[[#This Row],[City Name]],Google_Trend_Score[#All],2,FALSE)</f>
        <v>64</v>
      </c>
      <c r="M19" s="37">
        <f>(All_Cities_WCS[[#This Row],[NBA Google Analytic Trend Score (0-100)]] - MIN(All_Cities_WCS[NBA Google Analytic Trend Score (0-100)]))/(MAX(All_Cities_WCS[NBA Google Analytic Trend Score (0-100)]) - MIN(All_Cities_WCS[NBA Google Analytic Trend Score (0-100)])) * 100</f>
        <v>54.716981132075468</v>
      </c>
      <c r="N19" s="17">
        <f>VLOOKUP(All_Cities_WCS[[#This Row],[City Name]],Demographic_Data_Lookup12[#All],2,FALSE)</f>
        <v>41.8</v>
      </c>
      <c r="O19"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47.959183673469354</v>
      </c>
      <c r="P19" s="17">
        <v>100</v>
      </c>
      <c r="Q19" s="25">
        <f>COUNTIF(Fortune_500_Companies_Lookup[City],All_Cities_WCS[[#This Row],[City Name]])</f>
        <v>13</v>
      </c>
      <c r="R19" s="91">
        <f>All_Cities_WCS[[#This Row],[Fortune 500 HQ''s]]/72 * 100</f>
        <v>18.055555555555554</v>
      </c>
      <c r="S19"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56.270985808835135</v>
      </c>
    </row>
    <row r="20" spans="1:19">
      <c r="A20" s="23" t="s">
        <v>137</v>
      </c>
      <c r="B20" s="17" t="s">
        <v>134</v>
      </c>
      <c r="C20" s="44" t="s">
        <v>23</v>
      </c>
      <c r="D20" s="24">
        <f>VLOOKUP('All Cities WCS'!B20,USA_Metro_Population_Lookup[#All],2,FALSE)</f>
        <v>17671828</v>
      </c>
      <c r="E20" s="72">
        <f>(All_Cities_WCS[[#This Row],[Metro Population 2024]] - MIN(All_Cities_WCS[Metro Population 2024]))/(MAX(All_Cities_WCS[Metro Population 2024]) - MIN(All_Cities_WCS[Metro Population 2024])) * 100</f>
        <v>88.0444780248217</v>
      </c>
      <c r="F20" s="17">
        <f>VLOOKUP('All Cities WCS'!B20,USA_Metro_Population_Lookup[#All],3,FALSE)</f>
        <v>-2.0699999999999998</v>
      </c>
      <c r="G20" s="37">
        <f>(All_Cities_WCS[[#This Row],[Population Growth (% Change since 2020)]] - MIN(All_Cities_WCS[Population Growth (% Change since 2020)]))/(MAX(All_Cities_WCS[Population Growth (% Change since 2020)]) - MIN(All_Cities_WCS[Population Growth (% Change since 2020)])) * 100</f>
        <v>12.68230818008878</v>
      </c>
      <c r="H20" s="24">
        <f>VLOOKUP(All_Cities_WCS[[#This Row],[City Name]],Income_Data_Lookup[#All],2,FALSE)</f>
        <v>80898</v>
      </c>
      <c r="I20" s="72">
        <f>(All_Cities_WCS[[#This Row],[Per Capita Personal Income (2023)]] - MIN(All_Cities_WCS[Per Capita Personal Income (2023)]))/(MAX(All_Cities_WCS[Per Capita Personal Income (2023)]) - MIN(All_Cities_WCS[Per Capita Personal Income (2023)])) * 100</f>
        <v>32.157054947448678</v>
      </c>
      <c r="J20" s="17">
        <f>VLOOKUP(All_Cities_WCS[[#This Row],[City Name]],Nielsen_TV_Market_Lookup[#All],2,FALSE)</f>
        <v>2</v>
      </c>
      <c r="K20" s="37">
        <f>(All_Cities_WCS[[#This Row],[Nielsen TV Market Rank]] - MAX(All_Cities_WCS[Nielsen TV Market Rank]))/(MIN(All_Cities_WCS[Nielsen TV Market Rank]) - MAX(All_Cities_WCS[Nielsen TV Market Rank])) * 100</f>
        <v>98.630136986301366</v>
      </c>
      <c r="L20" s="17">
        <f>VLOOKUP(All_Cities_WCS[[#This Row],[City Name]],Google_Trend_Score[#All],2,FALSE)</f>
        <v>64</v>
      </c>
      <c r="M20" s="37">
        <f>(All_Cities_WCS[[#This Row],[NBA Google Analytic Trend Score (0-100)]] - MIN(All_Cities_WCS[NBA Google Analytic Trend Score (0-100)]))/(MAX(All_Cities_WCS[NBA Google Analytic Trend Score (0-100)]) - MIN(All_Cities_WCS[NBA Google Analytic Trend Score (0-100)])) * 100</f>
        <v>54.716981132075468</v>
      </c>
      <c r="N20" s="17">
        <f>VLOOKUP(All_Cities_WCS[[#This Row],[City Name]],Demographic_Data_Lookup12[#All],2,FALSE)</f>
        <v>41.8</v>
      </c>
      <c r="O20"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47.959183673469354</v>
      </c>
      <c r="P20" s="17">
        <v>100</v>
      </c>
      <c r="Q20" s="25">
        <f>COUNTIF(Fortune_500_Companies_Lookup[City],All_Cities_WCS[[#This Row],[City Name]])</f>
        <v>13</v>
      </c>
      <c r="R20" s="91">
        <f>All_Cities_WCS[[#This Row],[Fortune 500 HQ''s]]/72 * 100</f>
        <v>18.055555555555554</v>
      </c>
      <c r="S20"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56.270985808835135</v>
      </c>
    </row>
    <row r="21" spans="1:19">
      <c r="A21" s="23" t="s">
        <v>48</v>
      </c>
      <c r="B21" s="17" t="s">
        <v>49</v>
      </c>
      <c r="C21" s="44" t="s">
        <v>43</v>
      </c>
      <c r="D21" s="24">
        <f>VLOOKUP('All Cities WCS'!B21,USA_Metro_Population_Lookup[#All],2,FALSE)</f>
        <v>1394234</v>
      </c>
      <c r="E21" s="72">
        <f>(All_Cities_WCS[[#This Row],[Metro Population 2024]] - MIN(All_Cities_WCS[Metro Population 2024]))/(MAX(All_Cities_WCS[Metro Population 2024]) - MIN(All_Cities_WCS[Metro Population 2024])) * 100</f>
        <v>2.255734201944509</v>
      </c>
      <c r="F21" s="17">
        <f>VLOOKUP('All Cities WCS'!B21,USA_Metro_Population_Lookup[#All],3,FALSE)</f>
        <v>2.35</v>
      </c>
      <c r="G21" s="37">
        <f>(All_Cities_WCS[[#This Row],[Population Growth (% Change since 2020)]] - MIN(All_Cities_WCS[Population Growth (% Change since 2020)]))/(MAX(All_Cities_WCS[Population Growth (% Change since 2020)]) - MIN(All_Cities_WCS[Population Growth (% Change since 2020)])) * 100</f>
        <v>40.710209258084973</v>
      </c>
      <c r="H21" s="24">
        <f>VLOOKUP(All_Cities_WCS[[#This Row],[City Name]],Income_Data_Lookup[#All],2,FALSE)</f>
        <v>65205</v>
      </c>
      <c r="I21" s="72">
        <f>(All_Cities_WCS[[#This Row],[Per Capita Personal Income (2023)]] - MIN(All_Cities_WCS[Per Capita Personal Income (2023)]))/(MAX(All_Cities_WCS[Per Capita Personal Income (2023)]) - MIN(All_Cities_WCS[Per Capita Personal Income (2023)])) * 100</f>
        <v>10.79208190382835</v>
      </c>
      <c r="J21" s="17">
        <f>VLOOKUP(All_Cities_WCS[[#This Row],[City Name]],Nielsen_TV_Market_Lookup[#All],2,FALSE)</f>
        <v>50</v>
      </c>
      <c r="K21" s="37">
        <f>(All_Cities_WCS[[#This Row],[Nielsen TV Market Rank]] - MAX(All_Cities_WCS[Nielsen TV Market Rank]))/(MIN(All_Cities_WCS[Nielsen TV Market Rank]) - MAX(All_Cities_WCS[Nielsen TV Market Rank])) * 100</f>
        <v>32.87671232876712</v>
      </c>
      <c r="L21" s="17">
        <f>VLOOKUP(All_Cities_WCS[[#This Row],[City Name]],Google_Trend_Score[#All],2,FALSE)</f>
        <v>45</v>
      </c>
      <c r="M21" s="37">
        <f>(All_Cities_WCS[[#This Row],[NBA Google Analytic Trend Score (0-100)]] - MIN(All_Cities_WCS[NBA Google Analytic Trend Score (0-100)]))/(MAX(All_Cities_WCS[NBA Google Analytic Trend Score (0-100)]) - MIN(All_Cities_WCS[NBA Google Analytic Trend Score (0-100)])) * 100</f>
        <v>18.867924528301888</v>
      </c>
      <c r="N21" s="17">
        <f>VLOOKUP(All_Cities_WCS[[#This Row],[City Name]],Demographic_Data_Lookup12[#All],2,FALSE)</f>
        <v>38.9</v>
      </c>
      <c r="O21"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18.367346938775487</v>
      </c>
      <c r="P21" s="17">
        <v>100</v>
      </c>
      <c r="Q21" s="25">
        <f>COUNTIF(Fortune_500_Companies_Lookup[City],All_Cities_WCS[[#This Row],[City Name]])</f>
        <v>3</v>
      </c>
      <c r="R21" s="91">
        <f>All_Cities_WCS[[#This Row],[Fortune 500 HQ''s]]/72 * 100</f>
        <v>4.1666666666666661</v>
      </c>
      <c r="S21"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25.604355560927019</v>
      </c>
    </row>
    <row r="22" spans="1:19">
      <c r="A22" s="46" t="s">
        <v>140</v>
      </c>
      <c r="B22" s="44" t="s">
        <v>141</v>
      </c>
      <c r="C22" s="44" t="s">
        <v>28</v>
      </c>
      <c r="D22" s="24">
        <f>VLOOKUP('All Cities WCS'!B22,USA_Metro_Population_Lookup[#All],2,FALSE)</f>
        <v>1339345</v>
      </c>
      <c r="E22" s="72">
        <f>(All_Cities_WCS[[#This Row],[Metro Population 2024]] - MIN(All_Cities_WCS[Metro Population 2024]))/(MAX(All_Cities_WCS[Metro Population 2024]) - MIN(All_Cities_WCS[Metro Population 2024])) * 100</f>
        <v>1.9664495349541722</v>
      </c>
      <c r="F22" s="17">
        <f>VLOOKUP('All Cities WCS'!B22,USA_Metro_Population_Lookup[#All],3,FALSE)</f>
        <v>-0.45</v>
      </c>
      <c r="G22" s="37">
        <f>(All_Cities_WCS[[#This Row],[Population Growth (% Change since 2020)]] - MIN(All_Cities_WCS[Population Growth (% Change since 2020)]))/(MAX(All_Cities_WCS[Population Growth (% Change since 2020)]) - MIN(All_Cities_WCS[Population Growth (% Change since 2020)])) * 100</f>
        <v>22.954977805960684</v>
      </c>
      <c r="H22" s="24">
        <f>VLOOKUP(All_Cities_WCS[[#This Row],[City Name]],Income_Data_Lookup[#All],2,FALSE)</f>
        <v>60083</v>
      </c>
      <c r="I22" s="72">
        <f>(All_Cities_WCS[[#This Row],[Per Capita Personal Income (2023)]] - MIN(All_Cities_WCS[Per Capita Personal Income (2023)]))/(MAX(All_Cities_WCS[Per Capita Personal Income (2023)]) - MIN(All_Cities_WCS[Per Capita Personal Income (2023)])) * 100</f>
        <v>3.8188204541741544</v>
      </c>
      <c r="J22" s="17">
        <f>VLOOKUP(All_Cities_WCS[[#This Row],[City Name]],Nielsen_TV_Market_Lookup[#All],2,FALSE)</f>
        <v>52</v>
      </c>
      <c r="K22" s="37">
        <f>(All_Cities_WCS[[#This Row],[Nielsen TV Market Rank]] - MAX(All_Cities_WCS[Nielsen TV Market Rank]))/(MIN(All_Cities_WCS[Nielsen TV Market Rank]) - MAX(All_Cities_WCS[Nielsen TV Market Rank])) * 100</f>
        <v>30.136986301369863</v>
      </c>
      <c r="L22" s="17">
        <f>VLOOKUP(All_Cities_WCS[[#This Row],[City Name]],Google_Trend_Score[#All],2,FALSE)</f>
        <v>78</v>
      </c>
      <c r="M22" s="37">
        <f>(All_Cities_WCS[[#This Row],[NBA Google Analytic Trend Score (0-100)]] - MIN(All_Cities_WCS[NBA Google Analytic Trend Score (0-100)]))/(MAX(All_Cities_WCS[NBA Google Analytic Trend Score (0-100)]) - MIN(All_Cities_WCS[NBA Google Analytic Trend Score (0-100)])) * 100</f>
        <v>81.132075471698116</v>
      </c>
      <c r="N22" s="17">
        <f>VLOOKUP(All_Cities_WCS[[#This Row],[City Name]],Demographic_Data_Lookup12[#All],2,FALSE)</f>
        <v>40.200000000000003</v>
      </c>
      <c r="O22"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31.632653061224513</v>
      </c>
      <c r="P22" s="17">
        <v>100</v>
      </c>
      <c r="Q22" s="25">
        <f>COUNTIF(Fortune_500_Companies_Lookup[City],All_Cities_WCS[[#This Row],[City Name]])</f>
        <v>3</v>
      </c>
      <c r="R22" s="91">
        <f>All_Cities_WCS[[#This Row],[Fortune 500 HQ''s]]/72 * 100</f>
        <v>4.1666666666666661</v>
      </c>
      <c r="S22"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29.116197796106977</v>
      </c>
    </row>
    <row r="23" spans="1:19">
      <c r="A23" s="23" t="s">
        <v>144</v>
      </c>
      <c r="B23" s="17" t="s">
        <v>145</v>
      </c>
      <c r="C23" s="44" t="s">
        <v>28</v>
      </c>
      <c r="D23" s="24">
        <f>VLOOKUP('All Cities WCS'!B23,USA_Metro_Population_Lookup[#All],2,FALSE)</f>
        <v>6457988</v>
      </c>
      <c r="E23" s="72">
        <f>(All_Cities_WCS[[#This Row],[Metro Population 2024]] - MIN(All_Cities_WCS[Metro Population 2024]))/(MAX(All_Cities_WCS[Metro Population 2024]) - MIN(All_Cities_WCS[Metro Population 2024])) * 100</f>
        <v>28.94352938150665</v>
      </c>
      <c r="F23" s="17">
        <f>VLOOKUP('All Cities WCS'!B23,USA_Metro_Population_Lookup[#All],3,FALSE)</f>
        <v>5.21</v>
      </c>
      <c r="G23" s="37">
        <f>(All_Cities_WCS[[#This Row],[Population Growth (% Change since 2020)]] - MIN(All_Cities_WCS[Population Growth (% Change since 2020)]))/(MAX(All_Cities_WCS[Population Growth (% Change since 2020)]) - MIN(All_Cities_WCS[Population Growth (% Change since 2020)])) * 100</f>
        <v>58.84590995561193</v>
      </c>
      <c r="H23" s="24">
        <f>VLOOKUP(All_Cities_WCS[[#This Row],[City Name]],Income_Data_Lookup[#All],2,FALSE)</f>
        <v>84302</v>
      </c>
      <c r="I23" s="72">
        <f>(All_Cities_WCS[[#This Row],[Per Capita Personal Income (2023)]] - MIN(All_Cities_WCS[Per Capita Personal Income (2023)]))/(MAX(All_Cities_WCS[Per Capita Personal Income (2023)]) - MIN(All_Cities_WCS[Per Capita Personal Income (2023)])) * 100</f>
        <v>36.791373958503513</v>
      </c>
      <c r="J23" s="17">
        <f>VLOOKUP(All_Cities_WCS[[#This Row],[City Name]],Nielsen_TV_Market_Lookup[#All],2,FALSE)</f>
        <v>19</v>
      </c>
      <c r="K23" s="37">
        <f>(All_Cities_WCS[[#This Row],[Nielsen TV Market Rank]] - MAX(All_Cities_WCS[Nielsen TV Market Rank]))/(MIN(All_Cities_WCS[Nielsen TV Market Rank]) - MAX(All_Cities_WCS[Nielsen TV Market Rank])) * 100</f>
        <v>75.342465753424662</v>
      </c>
      <c r="L23" s="17">
        <f>VLOOKUP(All_Cities_WCS[[#This Row],[City Name]],Google_Trend_Score[#All],2,FALSE)</f>
        <v>64</v>
      </c>
      <c r="M23" s="37">
        <f>(All_Cities_WCS[[#This Row],[NBA Google Analytic Trend Score (0-100)]] - MIN(All_Cities_WCS[NBA Google Analytic Trend Score (0-100)]))/(MAX(All_Cities_WCS[NBA Google Analytic Trend Score (0-100)]) - MIN(All_Cities_WCS[NBA Google Analytic Trend Score (0-100)])) * 100</f>
        <v>54.716981132075468</v>
      </c>
      <c r="N23" s="17">
        <f>VLOOKUP(All_Cities_WCS[[#This Row],[City Name]],Demographic_Data_Lookup12[#All],2,FALSE)</f>
        <v>37.299999999999997</v>
      </c>
      <c r="O23"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2.0408163265305692</v>
      </c>
      <c r="P23" s="17">
        <v>100</v>
      </c>
      <c r="Q23" s="25">
        <f>COUNTIF(Fortune_500_Companies_Lookup[City],All_Cities_WCS[[#This Row],[City Name]])</f>
        <v>10</v>
      </c>
      <c r="R23" s="91">
        <f>All_Cities_WCS[[#This Row],[Fortune 500 HQ''s]]/72 * 100</f>
        <v>13.888888888888889</v>
      </c>
      <c r="S23"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44.733213673510598</v>
      </c>
    </row>
    <row r="24" spans="1:19">
      <c r="A24" s="46" t="s">
        <v>148</v>
      </c>
      <c r="B24" s="44" t="s">
        <v>149</v>
      </c>
      <c r="C24" s="44" t="s">
        <v>33</v>
      </c>
      <c r="D24" s="24">
        <f>VLOOKUP('All Cities WCS'!B24,USA_Metro_Population_Lookup[#All],2,FALSE)</f>
        <v>1574452</v>
      </c>
      <c r="E24" s="72">
        <f>(All_Cities_WCS[[#This Row],[Metro Population 2024]] - MIN(All_Cities_WCS[Metro Population 2024]))/(MAX(All_Cities_WCS[Metro Population 2024]) - MIN(All_Cities_WCS[Metro Population 2024])) * 100</f>
        <v>3.2055475364134285</v>
      </c>
      <c r="F24" s="17">
        <f>VLOOKUP('All Cities WCS'!B24,USA_Metro_Population_Lookup[#All],3,FALSE)</f>
        <v>-0.02</v>
      </c>
      <c r="G24" s="37">
        <f>(All_Cities_WCS[[#This Row],[Population Growth (% Change since 2020)]] - MIN(All_Cities_WCS[Population Growth (% Change since 2020)]))/(MAX(All_Cities_WCS[Population Growth (% Change since 2020)]) - MIN(All_Cities_WCS[Population Growth (% Change since 2020)])) * 100</f>
        <v>25.681674064679775</v>
      </c>
      <c r="H24" s="24">
        <f>VLOOKUP(All_Cities_WCS[[#This Row],[City Name]],Income_Data_Lookup[#All],2,FALSE)</f>
        <v>72316</v>
      </c>
      <c r="I24" s="72">
        <f>(All_Cities_WCS[[#This Row],[Per Capita Personal Income (2023)]] - MIN(All_Cities_WCS[Per Capita Personal Income (2023)]))/(MAX(All_Cities_WCS[Per Capita Personal Income (2023)]) - MIN(All_Cities_WCS[Per Capita Personal Income (2023)])) * 100</f>
        <v>20.473234220987855</v>
      </c>
      <c r="J24" s="17">
        <f>VLOOKUP(All_Cities_WCS[[#This Row],[City Name]],Nielsen_TV_Market_Lookup[#All],2,FALSE)</f>
        <v>39</v>
      </c>
      <c r="K24" s="37">
        <f>(All_Cities_WCS[[#This Row],[Nielsen TV Market Rank]] - MAX(All_Cities_WCS[Nielsen TV Market Rank]))/(MIN(All_Cities_WCS[Nielsen TV Market Rank]) - MAX(All_Cities_WCS[Nielsen TV Market Rank])) * 100</f>
        <v>47.945205479452049</v>
      </c>
      <c r="L24" s="17">
        <f>VLOOKUP(All_Cities_WCS[[#This Row],[City Name]],Google_Trend_Score[#All],2,FALSE)</f>
        <v>70</v>
      </c>
      <c r="M24" s="37">
        <f>(All_Cities_WCS[[#This Row],[NBA Google Analytic Trend Score (0-100)]] - MIN(All_Cities_WCS[NBA Google Analytic Trend Score (0-100)]))/(MAX(All_Cities_WCS[NBA Google Analytic Trend Score (0-100)]) - MIN(All_Cities_WCS[NBA Google Analytic Trend Score (0-100)])) * 100</f>
        <v>66.037735849056602</v>
      </c>
      <c r="N24" s="17">
        <f>VLOOKUP(All_Cities_WCS[[#This Row],[City Name]],Demographic_Data_Lookup12[#All],2,FALSE)</f>
        <v>39.700000000000003</v>
      </c>
      <c r="O24"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26.530612244897984</v>
      </c>
      <c r="P24" s="17">
        <v>100</v>
      </c>
      <c r="Q24" s="25">
        <f>COUNTIF(Fortune_500_Companies_Lookup[City],All_Cities_WCS[[#This Row],[City Name]])</f>
        <v>6</v>
      </c>
      <c r="R24" s="91">
        <f>All_Cities_WCS[[#This Row],[Fortune 500 HQ''s]]/72 * 100</f>
        <v>8.3333333333333321</v>
      </c>
      <c r="S24"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32.449034440806827</v>
      </c>
    </row>
    <row r="25" spans="1:19">
      <c r="A25" s="23" t="s">
        <v>152</v>
      </c>
      <c r="B25" s="17" t="s">
        <v>153</v>
      </c>
      <c r="C25" s="44" t="s">
        <v>33</v>
      </c>
      <c r="D25" s="24">
        <f>VLOOKUP('All Cities WCS'!B25,USA_Metro_Population_Lookup[#All],2,FALSE)</f>
        <v>3757952</v>
      </c>
      <c r="E25" s="72">
        <f>(All_Cities_WCS[[#This Row],[Metro Population 2024]] - MIN(All_Cities_WCS[Metro Population 2024]))/(MAX(All_Cities_WCS[Metro Population 2024]) - MIN(All_Cities_WCS[Metro Population 2024])) * 100</f>
        <v>14.713373701462903</v>
      </c>
      <c r="F25" s="17">
        <f>VLOOKUP('All Cities WCS'!B25,USA_Metro_Population_Lookup[#All],3,FALSE)</f>
        <v>1.83</v>
      </c>
      <c r="G25" s="37">
        <f>(All_Cities_WCS[[#This Row],[Population Growth (% Change since 2020)]] - MIN(All_Cities_WCS[Population Growth (% Change since 2020)]))/(MAX(All_Cities_WCS[Population Growth (% Change since 2020)]) - MIN(All_Cities_WCS[Population Growth (% Change since 2020)])) * 100</f>
        <v>37.412809131261895</v>
      </c>
      <c r="H25" s="24">
        <f>VLOOKUP(All_Cities_WCS[[#This Row],[City Name]],Income_Data_Lookup[#All],2,FALSE)</f>
        <v>79654</v>
      </c>
      <c r="I25" s="72">
        <f>(All_Cities_WCS[[#This Row],[Per Capita Personal Income (2023)]] - MIN(All_Cities_WCS[Per Capita Personal Income (2023)]))/(MAX(All_Cities_WCS[Per Capita Personal Income (2023)]) - MIN(All_Cities_WCS[Per Capita Personal Income (2023)])) * 100</f>
        <v>30.463431901105487</v>
      </c>
      <c r="J25" s="17">
        <f>VLOOKUP(All_Cities_WCS[[#This Row],[City Name]],Nielsen_TV_Market_Lookup[#All],2,FALSE)</f>
        <v>17</v>
      </c>
      <c r="K25" s="37">
        <f>(All_Cities_WCS[[#This Row],[Nielsen TV Market Rank]] - MAX(All_Cities_WCS[Nielsen TV Market Rank]))/(MIN(All_Cities_WCS[Nielsen TV Market Rank]) - MAX(All_Cities_WCS[Nielsen TV Market Rank])) * 100</f>
        <v>78.082191780821915</v>
      </c>
      <c r="L25" s="17">
        <f>VLOOKUP(All_Cities_WCS[[#This Row],[City Name]],Google_Trend_Score[#All],2,FALSE)</f>
        <v>68</v>
      </c>
      <c r="M25" s="37">
        <f>(All_Cities_WCS[[#This Row],[NBA Google Analytic Trend Score (0-100)]] - MIN(All_Cities_WCS[NBA Google Analytic Trend Score (0-100)]))/(MAX(All_Cities_WCS[NBA Google Analytic Trend Score (0-100)]) - MIN(All_Cities_WCS[NBA Google Analytic Trend Score (0-100)])) * 100</f>
        <v>62.264150943396224</v>
      </c>
      <c r="N25" s="17">
        <f>VLOOKUP(All_Cities_WCS[[#This Row],[City Name]],Demographic_Data_Lookup12[#All],2,FALSE)</f>
        <v>40.5</v>
      </c>
      <c r="O25"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34.6938775510204</v>
      </c>
      <c r="P25" s="17">
        <v>100</v>
      </c>
      <c r="Q25" s="25">
        <f>COUNTIF(Fortune_500_Companies_Lookup[City],All_Cities_WCS[[#This Row],[City Name]])</f>
        <v>15</v>
      </c>
      <c r="R25" s="91">
        <f>All_Cities_WCS[[#This Row],[Fortune 500 HQ''s]]/72 * 100</f>
        <v>20.833333333333336</v>
      </c>
      <c r="S25"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42.711466256004876</v>
      </c>
    </row>
    <row r="26" spans="1:19">
      <c r="A26" s="46" t="s">
        <v>51</v>
      </c>
      <c r="B26" s="44" t="s">
        <v>52</v>
      </c>
      <c r="C26" s="44" t="s">
        <v>28</v>
      </c>
      <c r="D26" s="24">
        <f>VLOOKUP('All Cities WCS'!B26,USA_Metro_Population_Lookup[#All],2,FALSE)</f>
        <v>2150553</v>
      </c>
      <c r="E26" s="72">
        <f>(All_Cities_WCS[[#This Row],[Metro Population 2024]] - MIN(All_Cities_WCS[Metro Population 2024]))/(MAX(All_Cities_WCS[Metro Population 2024]) - MIN(All_Cities_WCS[Metro Population 2024])) * 100</f>
        <v>6.2418059112754243</v>
      </c>
      <c r="F26" s="17">
        <f>VLOOKUP('All Cities WCS'!B26,USA_Metro_Population_Lookup[#All],3,FALSE)</f>
        <v>6.76</v>
      </c>
      <c r="G26" s="37">
        <f>(All_Cities_WCS[[#This Row],[Population Growth (% Change since 2020)]] - MIN(All_Cities_WCS[Population Growth (% Change since 2020)]))/(MAX(All_Cities_WCS[Population Growth (% Change since 2020)]) - MIN(All_Cities_WCS[Population Growth (% Change since 2020)])) * 100</f>
        <v>68.674698795180717</v>
      </c>
      <c r="H26" s="24">
        <f>VLOOKUP(All_Cities_WCS[[#This Row],[City Name]],Income_Data_Lookup[#All],2,FALSE)</f>
        <v>79453</v>
      </c>
      <c r="I26" s="72">
        <f>(All_Cities_WCS[[#This Row],[Per Capita Personal Income (2023)]] - MIN(All_Cities_WCS[Per Capita Personal Income (2023)]))/(MAX(All_Cities_WCS[Per Capita Personal Income (2023)]) - MIN(All_Cities_WCS[Per Capita Personal Income (2023)])) * 100</f>
        <v>30.189783804389258</v>
      </c>
      <c r="J26" s="17">
        <f>VLOOKUP(All_Cities_WCS[[#This Row],[City Name]],Nielsen_TV_Market_Lookup[#All],2,FALSE)</f>
        <v>27</v>
      </c>
      <c r="K26" s="37">
        <f>(All_Cities_WCS[[#This Row],[Nielsen TV Market Rank]] - MAX(All_Cities_WCS[Nielsen TV Market Rank]))/(MIN(All_Cities_WCS[Nielsen TV Market Rank]) - MAX(All_Cities_WCS[Nielsen TV Market Rank])) * 100</f>
        <v>64.38356164383562</v>
      </c>
      <c r="L26" s="17">
        <f>VLOOKUP(All_Cities_WCS[[#This Row],[City Name]],Google_Trend_Score[#All],2,FALSE)</f>
        <v>37</v>
      </c>
      <c r="M26" s="37">
        <f>(All_Cities_WCS[[#This Row],[NBA Google Analytic Trend Score (0-100)]] - MIN(All_Cities_WCS[NBA Google Analytic Trend Score (0-100)]))/(MAX(All_Cities_WCS[NBA Google Analytic Trend Score (0-100)]) - MIN(All_Cities_WCS[NBA Google Analytic Trend Score (0-100)])) * 100</f>
        <v>3.7735849056603774</v>
      </c>
      <c r="N26" s="17">
        <f>VLOOKUP(All_Cities_WCS[[#This Row],[City Name]],Demographic_Data_Lookup12[#All],2,FALSE)</f>
        <v>42.8</v>
      </c>
      <c r="O26"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58.163265306122426</v>
      </c>
      <c r="P26" s="17">
        <v>100</v>
      </c>
      <c r="Q26" s="25">
        <f>COUNTIF(Fortune_500_Companies_Lookup[City],All_Cities_WCS[[#This Row],[City Name]])</f>
        <v>6</v>
      </c>
      <c r="R26" s="91">
        <f>All_Cities_WCS[[#This Row],[Fortune 500 HQ''s]]/72 * 100</f>
        <v>8.3333333333333321</v>
      </c>
      <c r="S26"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39.543408091085759</v>
      </c>
    </row>
    <row r="27" spans="1:19">
      <c r="A27" s="46" t="s">
        <v>156</v>
      </c>
      <c r="B27" s="44" t="s">
        <v>157</v>
      </c>
      <c r="C27" s="44" t="s">
        <v>28</v>
      </c>
      <c r="D27" s="24">
        <f>VLOOKUP('All Cities WCS'!B27,USA_Metro_Population_Lookup[#All],2,FALSE)</f>
        <v>966230</v>
      </c>
      <c r="E27" s="72">
        <f>(All_Cities_WCS[[#This Row],[Metro Population 2024]] - MIN(All_Cities_WCS[Metro Population 2024]))/(MAX(All_Cities_WCS[Metro Population 2024]) - MIN(All_Cities_WCS[Metro Population 2024])) * 100</f>
        <v>0</v>
      </c>
      <c r="F27" s="17">
        <f>VLOOKUP('All Cities WCS'!B27,USA_Metro_Population_Lookup[#All],3,FALSE)</f>
        <v>-4.07</v>
      </c>
      <c r="G27" s="37">
        <f>(All_Cities_WCS[[#This Row],[Population Growth (% Change since 2020)]] - MIN(All_Cities_WCS[Population Growth (% Change since 2020)]))/(MAX(All_Cities_WCS[Population Growth (% Change since 2020)]) - MIN(All_Cities_WCS[Population Growth (% Change since 2020)])) * 100</f>
        <v>0</v>
      </c>
      <c r="H27" s="24">
        <f>VLOOKUP(All_Cities_WCS[[#This Row],[City Name]],Income_Data_Lookup[#All],2,FALSE)</f>
        <v>66588</v>
      </c>
      <c r="I27" s="72">
        <f>(All_Cities_WCS[[#This Row],[Per Capita Personal Income (2023)]] - MIN(All_Cities_WCS[Per Capita Personal Income (2023)]))/(MAX(All_Cities_WCS[Per Capita Personal Income (2023)]) - MIN(All_Cities_WCS[Per Capita Personal Income (2023)])) * 100</f>
        <v>12.674944181234002</v>
      </c>
      <c r="J27" s="17">
        <f>VLOOKUP(All_Cities_WCS[[#This Row],[City Name]],Nielsen_TV_Market_Lookup[#All],2,FALSE)</f>
        <v>51</v>
      </c>
      <c r="K27" s="37">
        <f>(All_Cities_WCS[[#This Row],[Nielsen TV Market Rank]] - MAX(All_Cities_WCS[Nielsen TV Market Rank]))/(MIN(All_Cities_WCS[Nielsen TV Market Rank]) - MAX(All_Cities_WCS[Nielsen TV Market Rank])) * 100</f>
        <v>31.506849315068493</v>
      </c>
      <c r="L27" s="17">
        <f>VLOOKUP(All_Cities_WCS[[#This Row],[City Name]],Google_Trend_Score[#All],2,FALSE)</f>
        <v>51</v>
      </c>
      <c r="M27" s="37">
        <f>(All_Cities_WCS[[#This Row],[NBA Google Analytic Trend Score (0-100)]] - MIN(All_Cities_WCS[NBA Google Analytic Trend Score (0-100)]))/(MAX(All_Cities_WCS[NBA Google Analytic Trend Score (0-100)]) - MIN(All_Cities_WCS[NBA Google Analytic Trend Score (0-100)])) * 100</f>
        <v>30.188679245283019</v>
      </c>
      <c r="N27" s="17">
        <f>VLOOKUP(All_Cities_WCS[[#This Row],[City Name]],Demographic_Data_Lookup12[#All],2,FALSE)</f>
        <v>39</v>
      </c>
      <c r="O27"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19.387755102040806</v>
      </c>
      <c r="P27" s="17">
        <v>100</v>
      </c>
      <c r="Q27" s="25">
        <f>COUNTIF(Fortune_500_Companies_Lookup[City],All_Cities_WCS[[#This Row],[City Name]])</f>
        <v>1</v>
      </c>
      <c r="R27" s="91">
        <f>All_Cities_WCS[[#This Row],[Fortune 500 HQ''s]]/72 * 100</f>
        <v>1.3888888888888888</v>
      </c>
      <c r="S27"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20.148458882313221</v>
      </c>
    </row>
    <row r="28" spans="1:19">
      <c r="A28" s="46" t="s">
        <v>93</v>
      </c>
      <c r="B28" s="44" t="s">
        <v>94</v>
      </c>
      <c r="C28" s="44" t="s">
        <v>74</v>
      </c>
      <c r="D28" s="24">
        <f>VLOOKUP('All Cities WCS'!B28,USA_Metro_Population_Lookup[#All],2,FALSE)</f>
        <v>19940274</v>
      </c>
      <c r="E28" s="72">
        <f>(All_Cities_WCS[[#This Row],[Metro Population 2024]] - MIN(All_Cities_WCS[Metro Population 2024]))/(MAX(All_Cities_WCS[Metro Population 2024]) - MIN(All_Cities_WCS[Metro Population 2024])) * 100</f>
        <v>100</v>
      </c>
      <c r="F28" s="17">
        <f>VLOOKUP('All Cities WCS'!B28,USA_Metro_Population_Lookup[#All],3,FALSE)</f>
        <v>-0.71</v>
      </c>
      <c r="G28" s="37">
        <f>(All_Cities_WCS[[#This Row],[Population Growth (% Change since 2020)]] - MIN(All_Cities_WCS[Population Growth (% Change since 2020)]))/(MAX(All_Cities_WCS[Population Growth (% Change since 2020)]) - MIN(All_Cities_WCS[Population Growth (% Change since 2020)])) * 100</f>
        <v>21.306277742549145</v>
      </c>
      <c r="H28" s="24">
        <f>VLOOKUP(All_Cities_WCS[[#This Row],[City Name]],Income_Data_Lookup[#All],2,FALSE)</f>
        <v>91448</v>
      </c>
      <c r="I28" s="72">
        <f>(All_Cities_WCS[[#This Row],[Per Capita Personal Income (2023)]] - MIN(All_Cities_WCS[Per Capita Personal Income (2023)]))/(MAX(All_Cities_WCS[Per Capita Personal Income (2023)]) - MIN(All_Cities_WCS[Per Capita Personal Income (2023)])) * 100</f>
        <v>46.520176441757883</v>
      </c>
      <c r="J28" s="17">
        <f>VLOOKUP(All_Cities_WCS[[#This Row],[City Name]],Nielsen_TV_Market_Lookup[#All],2,FALSE)</f>
        <v>1</v>
      </c>
      <c r="K28" s="37">
        <f>(All_Cities_WCS[[#This Row],[Nielsen TV Market Rank]] - MAX(All_Cities_WCS[Nielsen TV Market Rank]))/(MIN(All_Cities_WCS[Nielsen TV Market Rank]) - MAX(All_Cities_WCS[Nielsen TV Market Rank])) * 100</f>
        <v>100</v>
      </c>
      <c r="L28" s="17">
        <f>VLOOKUP(All_Cities_WCS[[#This Row],[City Name]],Google_Trend_Score[#All],2,FALSE)</f>
        <v>62</v>
      </c>
      <c r="M28" s="37">
        <f>(All_Cities_WCS[[#This Row],[NBA Google Analytic Trend Score (0-100)]] - MIN(All_Cities_WCS[NBA Google Analytic Trend Score (0-100)]))/(MAX(All_Cities_WCS[NBA Google Analytic Trend Score (0-100)]) - MIN(All_Cities_WCS[NBA Google Analytic Trend Score (0-100)])) * 100</f>
        <v>50.943396226415096</v>
      </c>
      <c r="N28" s="17">
        <f>VLOOKUP(All_Cities_WCS[[#This Row],[City Name]],Demographic_Data_Lookup12[#All],2,FALSE)</f>
        <v>39.5</v>
      </c>
      <c r="O28"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24.489795918367342</v>
      </c>
      <c r="P28" s="17">
        <v>100</v>
      </c>
      <c r="Q28" s="25">
        <f>COUNTIF(Fortune_500_Companies_Lookup[City],All_Cities_WCS[[#This Row],[City Name]])</f>
        <v>72</v>
      </c>
      <c r="R28" s="91">
        <f>All_Cities_WCS[[#This Row],[Fortune 500 HQ''s]]/72 * 100</f>
        <v>100</v>
      </c>
      <c r="S28"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67.717287342124294</v>
      </c>
    </row>
    <row r="29" spans="1:19">
      <c r="A29" s="23" t="s">
        <v>160</v>
      </c>
      <c r="B29" s="17" t="s">
        <v>94</v>
      </c>
      <c r="C29" s="44" t="s">
        <v>74</v>
      </c>
      <c r="D29" s="24">
        <f>VLOOKUP('All Cities WCS'!B29,USA_Metro_Population_Lookup[#All],2,FALSE)</f>
        <v>19940274</v>
      </c>
      <c r="E29" s="72">
        <f>(All_Cities_WCS[[#This Row],[Metro Population 2024]] - MIN(All_Cities_WCS[Metro Population 2024]))/(MAX(All_Cities_WCS[Metro Population 2024]) - MIN(All_Cities_WCS[Metro Population 2024])) * 100</f>
        <v>100</v>
      </c>
      <c r="F29" s="17">
        <f>VLOOKUP('All Cities WCS'!B29,USA_Metro_Population_Lookup[#All],3,FALSE)</f>
        <v>-0.71</v>
      </c>
      <c r="G29" s="37">
        <f>(All_Cities_WCS[[#This Row],[Population Growth (% Change since 2020)]] - MIN(All_Cities_WCS[Population Growth (% Change since 2020)]))/(MAX(All_Cities_WCS[Population Growth (% Change since 2020)]) - MIN(All_Cities_WCS[Population Growth (% Change since 2020)])) * 100</f>
        <v>21.306277742549145</v>
      </c>
      <c r="H29" s="24">
        <f>VLOOKUP(All_Cities_WCS[[#This Row],[City Name]],Income_Data_Lookup[#All],2,FALSE)</f>
        <v>91448</v>
      </c>
      <c r="I29" s="72">
        <f>(All_Cities_WCS[[#This Row],[Per Capita Personal Income (2023)]] - MIN(All_Cities_WCS[Per Capita Personal Income (2023)]))/(MAX(All_Cities_WCS[Per Capita Personal Income (2023)]) - MIN(All_Cities_WCS[Per Capita Personal Income (2023)])) * 100</f>
        <v>46.520176441757883</v>
      </c>
      <c r="J29" s="17">
        <f>VLOOKUP(All_Cities_WCS[[#This Row],[City Name]],Nielsen_TV_Market_Lookup[#All],2,FALSE)</f>
        <v>1</v>
      </c>
      <c r="K29" s="37">
        <f>(All_Cities_WCS[[#This Row],[Nielsen TV Market Rank]] - MAX(All_Cities_WCS[Nielsen TV Market Rank]))/(MIN(All_Cities_WCS[Nielsen TV Market Rank]) - MAX(All_Cities_WCS[Nielsen TV Market Rank])) * 100</f>
        <v>100</v>
      </c>
      <c r="L29" s="17">
        <f>VLOOKUP(All_Cities_WCS[[#This Row],[City Name]],Google_Trend_Score[#All],2,FALSE)</f>
        <v>62</v>
      </c>
      <c r="M29" s="37">
        <f>(All_Cities_WCS[[#This Row],[NBA Google Analytic Trend Score (0-100)]] - MIN(All_Cities_WCS[NBA Google Analytic Trend Score (0-100)]))/(MAX(All_Cities_WCS[NBA Google Analytic Trend Score (0-100)]) - MIN(All_Cities_WCS[NBA Google Analytic Trend Score (0-100)])) * 100</f>
        <v>50.943396226415096</v>
      </c>
      <c r="N29" s="17">
        <f>VLOOKUP(All_Cities_WCS[[#This Row],[City Name]],Demographic_Data_Lookup12[#All],2,FALSE)</f>
        <v>39.5</v>
      </c>
      <c r="O29"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24.489795918367342</v>
      </c>
      <c r="P29" s="17">
        <v>100</v>
      </c>
      <c r="Q29" s="25">
        <f>COUNTIF(Fortune_500_Companies_Lookup[City],All_Cities_WCS[[#This Row],[City Name]])</f>
        <v>72</v>
      </c>
      <c r="R29" s="91">
        <f>All_Cities_WCS[[#This Row],[Fortune 500 HQ''s]]/72 * 100</f>
        <v>100</v>
      </c>
      <c r="S29"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67.717287342124294</v>
      </c>
    </row>
    <row r="30" spans="1:19">
      <c r="A30" s="46" t="s">
        <v>163</v>
      </c>
      <c r="B30" s="44" t="s">
        <v>164</v>
      </c>
      <c r="C30" s="44" t="s">
        <v>43</v>
      </c>
      <c r="D30" s="24">
        <f>VLOOKUP('All Cities WCS'!B30,USA_Metro_Population_Lookup[#All],2,FALSE)</f>
        <v>1497821</v>
      </c>
      <c r="E30" s="72">
        <f>(All_Cities_WCS[[#This Row],[Metro Population 2024]] - MIN(All_Cities_WCS[Metro Population 2024]))/(MAX(All_Cities_WCS[Metro Population 2024]) - MIN(All_Cities_WCS[Metro Population 2024])) * 100</f>
        <v>2.8016747510441102</v>
      </c>
      <c r="F30" s="17">
        <f>VLOOKUP('All Cities WCS'!B30,USA_Metro_Population_Lookup[#All],3,FALSE)</f>
        <v>5.0599999999999996</v>
      </c>
      <c r="G30" s="37">
        <f>(All_Cities_WCS[[#This Row],[Population Growth (% Change since 2020)]] - MIN(All_Cities_WCS[Population Growth (% Change since 2020)]))/(MAX(All_Cities_WCS[Population Growth (% Change since 2020)]) - MIN(All_Cities_WCS[Population Growth (% Change since 2020)])) * 100</f>
        <v>57.894736842105253</v>
      </c>
      <c r="H30" s="24">
        <f>VLOOKUP(All_Cities_WCS[[#This Row],[City Name]],Income_Data_Lookup[#All],2,FALSE)</f>
        <v>64468</v>
      </c>
      <c r="I30" s="72">
        <f>(All_Cities_WCS[[#This Row],[Per Capita Personal Income (2023)]] - MIN(All_Cities_WCS[Per Capita Personal Income (2023)]))/(MAX(All_Cities_WCS[Per Capita Personal Income (2023)]) - MIN(All_Cities_WCS[Per Capita Personal Income (2023)])) * 100</f>
        <v>9.7887055492022004</v>
      </c>
      <c r="J30" s="17">
        <f>VLOOKUP(All_Cities_WCS[[#This Row],[City Name]],Nielsen_TV_Market_Lookup[#All],2,FALSE)</f>
        <v>48</v>
      </c>
      <c r="K30" s="37">
        <f>(All_Cities_WCS[[#This Row],[Nielsen TV Market Rank]] - MAX(All_Cities_WCS[Nielsen TV Market Rank]))/(MIN(All_Cities_WCS[Nielsen TV Market Rank]) - MAX(All_Cities_WCS[Nielsen TV Market Rank])) * 100</f>
        <v>35.61643835616438</v>
      </c>
      <c r="L30" s="17">
        <f>VLOOKUP(All_Cities_WCS[[#This Row],[City Name]],Google_Trend_Score[#All],2,FALSE)</f>
        <v>78</v>
      </c>
      <c r="M30" s="37">
        <f>(All_Cities_WCS[[#This Row],[NBA Google Analytic Trend Score (0-100)]] - MIN(All_Cities_WCS[NBA Google Analytic Trend Score (0-100)]))/(MAX(All_Cities_WCS[NBA Google Analytic Trend Score (0-100)]) - MIN(All_Cities_WCS[NBA Google Analytic Trend Score (0-100)])) * 100</f>
        <v>81.132075471698116</v>
      </c>
      <c r="N30" s="17">
        <f>VLOOKUP(All_Cities_WCS[[#This Row],[City Name]],Demographic_Data_Lookup12[#All],2,FALSE)</f>
        <v>42.7</v>
      </c>
      <c r="O30"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57.142857142857174</v>
      </c>
      <c r="P30" s="17">
        <v>100</v>
      </c>
      <c r="Q30" s="25">
        <f>COUNTIF(Fortune_500_Companies_Lookup[City],All_Cities_WCS[[#This Row],[City Name]])</f>
        <v>1</v>
      </c>
      <c r="R30" s="91">
        <f>All_Cities_WCS[[#This Row],[Fortune 500 HQ''s]]/72 * 100</f>
        <v>1.3888888888888888</v>
      </c>
      <c r="S30"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38.240877294865797</v>
      </c>
    </row>
    <row r="31" spans="1:19">
      <c r="A31" s="23" t="s">
        <v>54</v>
      </c>
      <c r="B31" s="17" t="s">
        <v>55</v>
      </c>
      <c r="C31" s="44" t="s">
        <v>43</v>
      </c>
      <c r="D31" s="24">
        <f>VLOOKUP('All Cities WCS'!B31,USA_Metro_Population_Lookup[#All],2,FALSE)</f>
        <v>1001010</v>
      </c>
      <c r="E31" s="72">
        <f>(All_Cities_WCS[[#This Row],[Metro Population 2024]] - MIN(All_Cities_WCS[Metro Population 2024]))/(MAX(All_Cities_WCS[Metro Population 2024]) - MIN(All_Cities_WCS[Metro Population 2024])) * 100</f>
        <v>0.18330304283051099</v>
      </c>
      <c r="F31" s="17">
        <f>VLOOKUP('All Cities WCS'!B31,USA_Metro_Population_Lookup[#All],3,FALSE)</f>
        <v>3.45</v>
      </c>
      <c r="G31" s="37">
        <f>(All_Cities_WCS[[#This Row],[Population Growth (% Change since 2020)]] - MIN(All_Cities_WCS[Population Growth (% Change since 2020)]))/(MAX(All_Cities_WCS[Population Growth (% Change since 2020)]) - MIN(All_Cities_WCS[Population Growth (% Change since 2020)])) * 100</f>
        <v>47.685478757133801</v>
      </c>
      <c r="H31" s="24">
        <f>VLOOKUP(All_Cities_WCS[[#This Row],[City Name]],Income_Data_Lookup[#All],2,FALSE)</f>
        <v>75033</v>
      </c>
      <c r="I31" s="72">
        <f>(All_Cities_WCS[[#This Row],[Per Capita Personal Income (2023)]] - MIN(All_Cities_WCS[Per Capita Personal Income (2023)]))/(MAX(All_Cities_WCS[Per Capita Personal Income (2023)]) - MIN(All_Cities_WCS[Per Capita Personal Income (2023)])) * 100</f>
        <v>24.172248543266349</v>
      </c>
      <c r="J31" s="17">
        <f>VLOOKUP(All_Cities_WCS[[#This Row],[City Name]],Nielsen_TV_Market_Lookup[#All],2,FALSE)</f>
        <v>74</v>
      </c>
      <c r="K31" s="37">
        <f>(All_Cities_WCS[[#This Row],[Nielsen TV Market Rank]] - MAX(All_Cities_WCS[Nielsen TV Market Rank]))/(MIN(All_Cities_WCS[Nielsen TV Market Rank]) - MAX(All_Cities_WCS[Nielsen TV Market Rank])) * 100</f>
        <v>0</v>
      </c>
      <c r="L31" s="17">
        <f>VLOOKUP(All_Cities_WCS[[#This Row],[City Name]],Google_Trend_Score[#All],2,FALSE)</f>
        <v>40</v>
      </c>
      <c r="M31" s="37">
        <f>(All_Cities_WCS[[#This Row],[NBA Google Analytic Trend Score (0-100)]] - MIN(All_Cities_WCS[NBA Google Analytic Trend Score (0-100)]))/(MAX(All_Cities_WCS[NBA Google Analytic Trend Score (0-100)]) - MIN(All_Cities_WCS[NBA Google Analytic Trend Score (0-100)])) * 100</f>
        <v>9.433962264150944</v>
      </c>
      <c r="N31" s="17">
        <f>VLOOKUP(All_Cities_WCS[[#This Row],[City Name]],Demographic_Data_Lookup12[#All],2,FALSE)</f>
        <v>41</v>
      </c>
      <c r="O31"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39.795918367346935</v>
      </c>
      <c r="P31" s="17">
        <v>100</v>
      </c>
      <c r="Q31" s="25">
        <f>COUNTIF(Fortune_500_Companies_Lookup[City],All_Cities_WCS[[#This Row],[City Name]])</f>
        <v>4</v>
      </c>
      <c r="R31" s="91">
        <f>All_Cities_WCS[[#This Row],[Fortune 500 HQ''s]]/72 * 100</f>
        <v>5.5555555555555554</v>
      </c>
      <c r="S31"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26.293863322331468</v>
      </c>
    </row>
    <row r="32" spans="1:19">
      <c r="A32" s="23" t="s">
        <v>167</v>
      </c>
      <c r="B32" s="17" t="s">
        <v>168</v>
      </c>
      <c r="C32" s="17" t="s">
        <v>28</v>
      </c>
      <c r="D32" s="24">
        <f>VLOOKUP('All Cities WCS'!B32,USA_Metro_Population_Lookup[#All],2,FALSE)</f>
        <v>2940513</v>
      </c>
      <c r="E32" s="72">
        <f>(All_Cities_WCS[[#This Row],[Metro Population 2024]] - MIN(All_Cities_WCS[Metro Population 2024]))/(MAX(All_Cities_WCS[Metro Population 2024]) - MIN(All_Cities_WCS[Metro Population 2024])) * 100</f>
        <v>10.405177725950249</v>
      </c>
      <c r="F32" s="17">
        <f>VLOOKUP('All Cities WCS'!B32,USA_Metro_Population_Lookup[#All],3,FALSE)</f>
        <v>9.99</v>
      </c>
      <c r="G32" s="37">
        <f>(All_Cities_WCS[[#This Row],[Population Growth (% Change since 2020)]] - MIN(All_Cities_WCS[Population Growth (% Change since 2020)]))/(MAX(All_Cities_WCS[Population Growth (% Change since 2020)]) - MIN(All_Cities_WCS[Population Growth (% Change since 2020)])) * 100</f>
        <v>89.156626506024111</v>
      </c>
      <c r="H32" s="24">
        <f>VLOOKUP(All_Cities_WCS[[#This Row],[City Name]],Income_Data_Lookup[#All],2,FALSE)</f>
        <v>57774</v>
      </c>
      <c r="I32" s="72">
        <f>(All_Cities_WCS[[#This Row],[Per Capita Personal Income (2023)]] - MIN(All_Cities_WCS[Per Capita Personal Income (2023)]))/(MAX(All_Cities_WCS[Per Capita Personal Income (2023)]) - MIN(All_Cities_WCS[Per Capita Personal Income (2023)])) * 100</f>
        <v>0.67527092523008225</v>
      </c>
      <c r="J32" s="17">
        <f>VLOOKUP(All_Cities_WCS[[#This Row],[City Name]],Nielsen_TV_Market_Lookup[#All],2,FALSE)</f>
        <v>16</v>
      </c>
      <c r="K32" s="37">
        <f>(All_Cities_WCS[[#This Row],[Nielsen TV Market Rank]] - MAX(All_Cities_WCS[Nielsen TV Market Rank]))/(MIN(All_Cities_WCS[Nielsen TV Market Rank]) - MAX(All_Cities_WCS[Nielsen TV Market Rank])) * 100</f>
        <v>79.452054794520549</v>
      </c>
      <c r="L32" s="17">
        <f>VLOOKUP(All_Cities_WCS[[#This Row],[City Name]],Google_Trend_Score[#All],2,FALSE)</f>
        <v>54</v>
      </c>
      <c r="M32" s="37">
        <f>(All_Cities_WCS[[#This Row],[NBA Google Analytic Trend Score (0-100)]] - MIN(All_Cities_WCS[NBA Google Analytic Trend Score (0-100)]))/(MAX(All_Cities_WCS[NBA Google Analytic Trend Score (0-100)]) - MIN(All_Cities_WCS[NBA Google Analytic Trend Score (0-100)])) * 100</f>
        <v>35.849056603773583</v>
      </c>
      <c r="N32" s="17">
        <f>VLOOKUP(All_Cities_WCS[[#This Row],[City Name]],Demographic_Data_Lookup12[#All],2,FALSE)</f>
        <v>41.9</v>
      </c>
      <c r="O32"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48.979591836734684</v>
      </c>
      <c r="P32" s="17">
        <v>100</v>
      </c>
      <c r="Q32" s="25">
        <f>COUNTIF(Fortune_500_Companies_Lookup[City],All_Cities_WCS[[#This Row],[City Name]])</f>
        <v>1</v>
      </c>
      <c r="R32" s="91">
        <f>All_Cities_WCS[[#This Row],[Fortune 500 HQ''s]]/72 * 100</f>
        <v>1.3888888888888888</v>
      </c>
      <c r="S32"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42.122779372269946</v>
      </c>
    </row>
    <row r="33" spans="1:19">
      <c r="A33" s="46" t="s">
        <v>171</v>
      </c>
      <c r="B33" s="44" t="s">
        <v>172</v>
      </c>
      <c r="C33" s="17" t="s">
        <v>74</v>
      </c>
      <c r="D33" s="24">
        <f>VLOOKUP('All Cities WCS'!B33,USA_Metro_Population_Lookup[#All],2,FALSE)</f>
        <v>6330422</v>
      </c>
      <c r="E33" s="72">
        <f>(All_Cities_WCS[[#This Row],[Metro Population 2024]] - MIN(All_Cities_WCS[Metro Population 2024]))/(MAX(All_Cities_WCS[Metro Population 2024]) - MIN(All_Cities_WCS[Metro Population 2024])) * 100</f>
        <v>28.271210923722954</v>
      </c>
      <c r="F33" s="17">
        <f>VLOOKUP('All Cities WCS'!B33,USA_Metro_Population_Lookup[#All],3,FALSE)</f>
        <v>1.37</v>
      </c>
      <c r="G33" s="37">
        <f>(All_Cities_WCS[[#This Row],[Population Growth (% Change since 2020)]] - MIN(All_Cities_WCS[Population Growth (% Change since 2020)]))/(MAX(All_Cities_WCS[Population Growth (% Change since 2020)]) - MIN(All_Cities_WCS[Population Growth (% Change since 2020)])) * 100</f>
        <v>34.495878249841475</v>
      </c>
      <c r="H33" s="24">
        <f>VLOOKUP(All_Cities_WCS[[#This Row],[City Name]],Income_Data_Lookup[#All],2,FALSE)</f>
        <v>78761</v>
      </c>
      <c r="I33" s="72">
        <f>(All_Cities_WCS[[#This Row],[Per Capita Personal Income (2023)]] - MIN(All_Cities_WCS[Per Capita Personal Income (2023)]))/(MAX(All_Cities_WCS[Per Capita Personal Income (2023)]) - MIN(All_Cities_WCS[Per Capita Personal Income (2023)])) * 100</f>
        <v>29.247671949027936</v>
      </c>
      <c r="J33" s="17">
        <f>VLOOKUP(All_Cities_WCS[[#This Row],[City Name]],Nielsen_TV_Market_Lookup[#All],2,FALSE)</f>
        <v>5</v>
      </c>
      <c r="K33" s="37">
        <f>(All_Cities_WCS[[#This Row],[Nielsen TV Market Rank]] - MAX(All_Cities_WCS[Nielsen TV Market Rank]))/(MIN(All_Cities_WCS[Nielsen TV Market Rank]) - MAX(All_Cities_WCS[Nielsen TV Market Rank])) * 100</f>
        <v>94.520547945205479</v>
      </c>
      <c r="L33" s="17">
        <f>VLOOKUP(All_Cities_WCS[[#This Row],[City Name]],Google_Trend_Score[#All],2,FALSE)</f>
        <v>57</v>
      </c>
      <c r="M33" s="37">
        <f>(All_Cities_WCS[[#This Row],[NBA Google Analytic Trend Score (0-100)]] - MIN(All_Cities_WCS[NBA Google Analytic Trend Score (0-100)]))/(MAX(All_Cities_WCS[NBA Google Analytic Trend Score (0-100)]) - MIN(All_Cities_WCS[NBA Google Analytic Trend Score (0-100)])) * 100</f>
        <v>41.509433962264154</v>
      </c>
      <c r="N33" s="17">
        <f>VLOOKUP(All_Cities_WCS[[#This Row],[City Name]],Demographic_Data_Lookup12[#All],2,FALSE)</f>
        <v>39.9</v>
      </c>
      <c r="O33"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28.571428571428552</v>
      </c>
      <c r="P33" s="17">
        <v>100</v>
      </c>
      <c r="Q33" s="25">
        <f>COUNTIF(Fortune_500_Companies_Lookup[City],All_Cities_WCS[[#This Row],[City Name]])</f>
        <v>9</v>
      </c>
      <c r="R33" s="91">
        <f>All_Cities_WCS[[#This Row],[Fortune 500 HQ''s]]/72 * 100</f>
        <v>12.5</v>
      </c>
      <c r="S33"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42.925915762464818</v>
      </c>
    </row>
    <row r="34" spans="1:19">
      <c r="A34" s="23" t="s">
        <v>175</v>
      </c>
      <c r="B34" s="17" t="s">
        <v>176</v>
      </c>
      <c r="C34" s="17" t="s">
        <v>23</v>
      </c>
      <c r="D34" s="24">
        <f>VLOOKUP('All Cities WCS'!B34,USA_Metro_Population_Lookup[#All],2,FALSE)</f>
        <v>5186958</v>
      </c>
      <c r="E34" s="72">
        <f>(All_Cities_WCS[[#This Row],[Metro Population 2024]] - MIN(All_Cities_WCS[Metro Population 2024]))/(MAX(All_Cities_WCS[Metro Population 2024]) - MIN(All_Cities_WCS[Metro Population 2024])) * 100</f>
        <v>22.244746560090196</v>
      </c>
      <c r="F34" s="17">
        <f>VLOOKUP('All Cities WCS'!B34,USA_Metro_Population_Lookup[#All],3,FALSE)</f>
        <v>7.04</v>
      </c>
      <c r="G34" s="37">
        <f>(All_Cities_WCS[[#This Row],[Population Growth (% Change since 2020)]] - MIN(All_Cities_WCS[Population Growth (% Change since 2020)]))/(MAX(All_Cities_WCS[Population Growth (% Change since 2020)]) - MIN(All_Cities_WCS[Population Growth (% Change since 2020)])) * 100</f>
        <v>70.450221940393149</v>
      </c>
      <c r="H34" s="24">
        <f>VLOOKUP(All_Cities_WCS[[#This Row],[City Name]],Income_Data_Lookup[#All],2,FALSE)</f>
        <v>66365</v>
      </c>
      <c r="I34" s="72">
        <f>(All_Cities_WCS[[#This Row],[Per Capita Personal Income (2023)]] - MIN(All_Cities_WCS[Per Capita Personal Income (2023)]))/(MAX(All_Cities_WCS[Per Capita Personal Income (2023)]) - MIN(All_Cities_WCS[Per Capita Personal Income (2023)])) * 100</f>
        <v>12.371344551543865</v>
      </c>
      <c r="J34" s="17">
        <f>VLOOKUP(All_Cities_WCS[[#This Row],[City Name]],Nielsen_TV_Market_Lookup[#All],2,FALSE)</f>
        <v>13</v>
      </c>
      <c r="K34" s="37">
        <f>(All_Cities_WCS[[#This Row],[Nielsen TV Market Rank]] - MAX(All_Cities_WCS[Nielsen TV Market Rank]))/(MIN(All_Cities_WCS[Nielsen TV Market Rank]) - MAX(All_Cities_WCS[Nielsen TV Market Rank])) * 100</f>
        <v>83.561643835616437</v>
      </c>
      <c r="L34" s="17">
        <f>VLOOKUP(All_Cities_WCS[[#This Row],[City Name]],Google_Trend_Score[#All],2,FALSE)</f>
        <v>59</v>
      </c>
      <c r="M34" s="37">
        <f>(All_Cities_WCS[[#This Row],[NBA Google Analytic Trend Score (0-100)]] - MIN(All_Cities_WCS[NBA Google Analytic Trend Score (0-100)]))/(MAX(All_Cities_WCS[NBA Google Analytic Trend Score (0-100)]) - MIN(All_Cities_WCS[NBA Google Analytic Trend Score (0-100)])) * 100</f>
        <v>45.283018867924532</v>
      </c>
      <c r="N34" s="17">
        <f>VLOOKUP(All_Cities_WCS[[#This Row],[City Name]],Demographic_Data_Lookup12[#All],2,FALSE)</f>
        <v>41.2</v>
      </c>
      <c r="O34"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41.836734693877574</v>
      </c>
      <c r="P34" s="17">
        <v>100</v>
      </c>
      <c r="Q34" s="25">
        <f>COUNTIF(Fortune_500_Companies_Lookup[City],All_Cities_WCS[[#This Row],[City Name]])</f>
        <v>9</v>
      </c>
      <c r="R34" s="91">
        <f>All_Cities_WCS[[#This Row],[Fortune 500 HQ''s]]/72 * 100</f>
        <v>12.5</v>
      </c>
      <c r="S34"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45.190324025550446</v>
      </c>
    </row>
    <row r="35" spans="1:19">
      <c r="A35" s="46" t="s">
        <v>57</v>
      </c>
      <c r="B35" s="44" t="s">
        <v>58</v>
      </c>
      <c r="C35" s="44" t="s">
        <v>33</v>
      </c>
      <c r="D35" s="24">
        <f>VLOOKUP('All Cities WCS'!B35,USA_Metro_Population_Lookup[#All],2,FALSE)</f>
        <v>2429917</v>
      </c>
      <c r="E35" s="72">
        <f>(All_Cities_WCS[[#This Row],[Metro Population 2024]] - MIN(All_Cities_WCS[Metro Population 2024]))/(MAX(All_Cities_WCS[Metro Population 2024]) - MIN(All_Cities_WCS[Metro Population 2024])) * 100</f>
        <v>7.7141541360397383</v>
      </c>
      <c r="F35" s="17">
        <f>VLOOKUP('All Cities WCS'!B35,USA_Metro_Population_Lookup[#All],3,FALSE)</f>
        <v>-1.1000000000000001</v>
      </c>
      <c r="G35" s="37">
        <f>(All_Cities_WCS[[#This Row],[Population Growth (% Change since 2020)]] - MIN(All_Cities_WCS[Population Growth (% Change since 2020)]))/(MAX(All_Cities_WCS[Population Growth (% Change since 2020)]) - MIN(All_Cities_WCS[Population Growth (% Change since 2020)])) * 100</f>
        <v>18.833227647431837</v>
      </c>
      <c r="H35" s="24">
        <f>VLOOKUP(All_Cities_WCS[[#This Row],[City Name]],Income_Data_Lookup[#All],2,FALSE)</f>
        <v>70559</v>
      </c>
      <c r="I35" s="72">
        <f>(All_Cities_WCS[[#This Row],[Per Capita Personal Income (2023)]] - MIN(All_Cities_WCS[Per Capita Personal Income (2023)]))/(MAX(All_Cities_WCS[Per Capita Personal Income (2023)]) - MIN(All_Cities_WCS[Per Capita Personal Income (2023)])) * 100</f>
        <v>18.08119588302565</v>
      </c>
      <c r="J35" s="17">
        <f>VLOOKUP(All_Cities_WCS[[#This Row],[City Name]],Nielsen_TV_Market_Lookup[#All],2,FALSE)</f>
        <v>28</v>
      </c>
      <c r="K35" s="37">
        <f>(All_Cities_WCS[[#This Row],[Nielsen TV Market Rank]] - MAX(All_Cities_WCS[Nielsen TV Market Rank]))/(MIN(All_Cities_WCS[Nielsen TV Market Rank]) - MAX(All_Cities_WCS[Nielsen TV Market Rank])) * 100</f>
        <v>63.013698630136986</v>
      </c>
      <c r="L35" s="17">
        <f>VLOOKUP(All_Cities_WCS[[#This Row],[City Name]],Google_Trend_Score[#All],2,FALSE)</f>
        <v>35</v>
      </c>
      <c r="M35" s="37">
        <f>(All_Cities_WCS[[#This Row],[NBA Google Analytic Trend Score (0-100)]] - MIN(All_Cities_WCS[NBA Google Analytic Trend Score (0-100)]))/(MAX(All_Cities_WCS[NBA Google Analytic Trend Score (0-100)]) - MIN(All_Cities_WCS[NBA Google Analytic Trend Score (0-100)])) * 100</f>
        <v>0</v>
      </c>
      <c r="N35" s="17">
        <f>VLOOKUP(All_Cities_WCS[[#This Row],[City Name]],Demographic_Data_Lookup12[#All],2,FALSE)</f>
        <v>37.1</v>
      </c>
      <c r="O35"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0</v>
      </c>
      <c r="P35" s="17">
        <v>100</v>
      </c>
      <c r="Q35" s="25">
        <f>COUNTIF(Fortune_500_Companies_Lookup[City],All_Cities_WCS[[#This Row],[City Name]])</f>
        <v>9</v>
      </c>
      <c r="R35" s="91">
        <f>All_Cities_WCS[[#This Row],[Fortune 500 HQ''s]]/72 * 100</f>
        <v>12.5</v>
      </c>
      <c r="S35"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24.631364219790271</v>
      </c>
    </row>
    <row r="36" spans="1:19">
      <c r="A36" s="46" t="s">
        <v>179</v>
      </c>
      <c r="B36" s="44" t="s">
        <v>180</v>
      </c>
      <c r="C36" s="44" t="s">
        <v>23</v>
      </c>
      <c r="D36" s="24">
        <f>VLOOKUP('All Cities WCS'!B36,USA_Metro_Population_Lookup[#All],2,FALSE)</f>
        <v>2537904</v>
      </c>
      <c r="E36" s="72">
        <f>(All_Cities_WCS[[#This Row],[Metro Population 2024]] - MIN(All_Cities_WCS[Metro Population 2024]))/(MAX(All_Cities_WCS[Metro Population 2024]) - MIN(All_Cities_WCS[Metro Population 2024])) * 100</f>
        <v>8.2832842592754616</v>
      </c>
      <c r="F36" s="17">
        <f>VLOOKUP('All Cities WCS'!B36,USA_Metro_Population_Lookup[#All],3,FALSE)</f>
        <v>1</v>
      </c>
      <c r="G36" s="37">
        <f>(All_Cities_WCS[[#This Row],[Population Growth (% Change since 2020)]] - MIN(All_Cities_WCS[Population Growth (% Change since 2020)]))/(MAX(All_Cities_WCS[Population Growth (% Change since 2020)]) - MIN(All_Cities_WCS[Population Growth (% Change since 2020)])) * 100</f>
        <v>32.149651236525052</v>
      </c>
      <c r="H36" s="24">
        <f>VLOOKUP(All_Cities_WCS[[#This Row],[City Name]],Income_Data_Lookup[#All],2,FALSE)</f>
        <v>74992</v>
      </c>
      <c r="I36" s="72">
        <f>(All_Cities_WCS[[#This Row],[Per Capita Personal Income (2023)]] - MIN(All_Cities_WCS[Per Capita Personal Income (2023)]))/(MAX(All_Cities_WCS[Per Capita Personal Income (2023)]) - MIN(All_Cities_WCS[Per Capita Personal Income (2023)])) * 100</f>
        <v>24.116429777269509</v>
      </c>
      <c r="J36" s="17">
        <f>VLOOKUP(All_Cities_WCS[[#This Row],[City Name]],Nielsen_TV_Market_Lookup[#All],2,FALSE)</f>
        <v>24</v>
      </c>
      <c r="K36" s="37">
        <f>(All_Cities_WCS[[#This Row],[Nielsen TV Market Rank]] - MAX(All_Cities_WCS[Nielsen TV Market Rank]))/(MIN(All_Cities_WCS[Nielsen TV Market Rank]) - MAX(All_Cities_WCS[Nielsen TV Market Rank])) * 100</f>
        <v>68.493150684931507</v>
      </c>
      <c r="L36" s="17">
        <f>VLOOKUP(All_Cities_WCS[[#This Row],[City Name]],Google_Trend_Score[#All],2,FALSE)</f>
        <v>51</v>
      </c>
      <c r="M36" s="37">
        <f>(All_Cities_WCS[[#This Row],[NBA Google Analytic Trend Score (0-100)]] - MIN(All_Cities_WCS[NBA Google Analytic Trend Score (0-100)]))/(MAX(All_Cities_WCS[NBA Google Analytic Trend Score (0-100)]) - MIN(All_Cities_WCS[NBA Google Analytic Trend Score (0-100)])) * 100</f>
        <v>30.188679245283019</v>
      </c>
      <c r="N36" s="17">
        <f>VLOOKUP(All_Cities_WCS[[#This Row],[City Name]],Demographic_Data_Lookup12[#All],2,FALSE)</f>
        <v>42.1</v>
      </c>
      <c r="O36"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51.020408163265316</v>
      </c>
      <c r="P36" s="17">
        <v>100</v>
      </c>
      <c r="Q36" s="25">
        <f>COUNTIF(Fortune_500_Companies_Lookup[City],All_Cities_WCS[[#This Row],[City Name]])</f>
        <v>1</v>
      </c>
      <c r="R36" s="91">
        <f>All_Cities_WCS[[#This Row],[Fortune 500 HQ''s]]/72 * 100</f>
        <v>1.3888888888888888</v>
      </c>
      <c r="S36"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35.205681702161144</v>
      </c>
    </row>
    <row r="37" spans="1:19">
      <c r="A37" s="23" t="s">
        <v>183</v>
      </c>
      <c r="B37" s="17" t="s">
        <v>184</v>
      </c>
      <c r="C37" s="44" t="s">
        <v>23</v>
      </c>
      <c r="D37" s="24">
        <f>VLOOKUP('All Cities WCS'!B37,USA_Metro_Population_Lookup[#All],2,FALSE)</f>
        <v>2463127</v>
      </c>
      <c r="E37" s="72">
        <f>(All_Cities_WCS[[#This Row],[Metro Population 2024]] - MIN(All_Cities_WCS[Metro Population 2024]))/(MAX(All_Cities_WCS[Metro Population 2024]) - MIN(All_Cities_WCS[Metro Population 2024])) * 100</f>
        <v>7.8891827171898621</v>
      </c>
      <c r="F37" s="17">
        <f>VLOOKUP('All Cities WCS'!B37,USA_Metro_Population_Lookup[#All],3,FALSE)</f>
        <v>2.74</v>
      </c>
      <c r="G37" s="37">
        <f>(All_Cities_WCS[[#This Row],[Population Growth (% Change since 2020)]] - MIN(All_Cities_WCS[Population Growth (% Change since 2020)]))/(MAX(All_Cities_WCS[Population Growth (% Change since 2020)]) - MIN(All_Cities_WCS[Population Growth (% Change since 2020)])) * 100</f>
        <v>43.183259353202288</v>
      </c>
      <c r="H37" s="24">
        <f>VLOOKUP(All_Cities_WCS[[#This Row],[City Name]],Income_Data_Lookup[#All],2,FALSE)</f>
        <v>70418</v>
      </c>
      <c r="I37" s="72">
        <f>(All_Cities_WCS[[#This Row],[Per Capita Personal Income (2023)]] - MIN(All_Cities_WCS[Per Capita Personal Income (2023)]))/(MAX(All_Cities_WCS[Per Capita Personal Income (2023)]) - MIN(All_Cities_WCS[Per Capita Personal Income (2023)])) * 100</f>
        <v>17.889233785329196</v>
      </c>
      <c r="J37" s="17">
        <f>VLOOKUP(All_Cities_WCS[[#This Row],[City Name]],Nielsen_TV_Market_Lookup[#All],2,FALSE)</f>
        <v>21</v>
      </c>
      <c r="K37" s="37">
        <f>(All_Cities_WCS[[#This Row],[Nielsen TV Market Rank]] - MAX(All_Cities_WCS[Nielsen TV Market Rank]))/(MIN(All_Cities_WCS[Nielsen TV Market Rank]) - MAX(All_Cities_WCS[Nielsen TV Market Rank])) * 100</f>
        <v>72.602739726027394</v>
      </c>
      <c r="L37" s="17">
        <f>VLOOKUP(All_Cities_WCS[[#This Row],[City Name]],Google_Trend_Score[#All],2,FALSE)</f>
        <v>88</v>
      </c>
      <c r="M37" s="37">
        <f>(All_Cities_WCS[[#This Row],[NBA Google Analytic Trend Score (0-100)]] - MIN(All_Cities_WCS[NBA Google Analytic Trend Score (0-100)]))/(MAX(All_Cities_WCS[NBA Google Analytic Trend Score (0-100)]) - MIN(All_Cities_WCS[NBA Google Analytic Trend Score (0-100)])) * 100</f>
        <v>100</v>
      </c>
      <c r="N37" s="17">
        <f>VLOOKUP(All_Cities_WCS[[#This Row],[City Name]],Demographic_Data_Lookup12[#All],2,FALSE)</f>
        <v>40.9</v>
      </c>
      <c r="O37"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38.775510204081613</v>
      </c>
      <c r="P37" s="17">
        <v>100</v>
      </c>
      <c r="Q37" s="25">
        <f>COUNTIF(Fortune_500_Companies_Lookup[City],All_Cities_WCS[[#This Row],[City Name]])</f>
        <v>0</v>
      </c>
      <c r="R37" s="91">
        <f>All_Cities_WCS[[#This Row],[Fortune 500 HQ''s]]/72 * 100</f>
        <v>0</v>
      </c>
      <c r="S37"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41.876535507228596</v>
      </c>
    </row>
    <row r="38" spans="1:19">
      <c r="A38" s="46" t="s">
        <v>195</v>
      </c>
      <c r="B38" s="44" t="s">
        <v>196</v>
      </c>
      <c r="C38" s="44" t="s">
        <v>43</v>
      </c>
      <c r="D38" s="24">
        <f>VLOOKUP('All Cities WCS'!B38,USA_Metro_Population_Lookup[#All],2,FALSE)</f>
        <v>1300762</v>
      </c>
      <c r="E38" s="72">
        <f>(All_Cities_WCS[[#This Row],[Metro Population 2024]] - MIN(All_Cities_WCS[Metro Population 2024]))/(MAX(All_Cities_WCS[Metro Population 2024]) - MIN(All_Cities_WCS[Metro Population 2024])) * 100</f>
        <v>1.763103321569192</v>
      </c>
      <c r="F38" s="17">
        <f>VLOOKUP('All Cities WCS'!B38,USA_Metro_Population_Lookup[#All],3,FALSE)</f>
        <v>3.4</v>
      </c>
      <c r="G38" s="37">
        <f>(All_Cities_WCS[[#This Row],[Population Growth (% Change since 2020)]] - MIN(All_Cities_WCS[Population Growth (% Change since 2020)]))/(MAX(All_Cities_WCS[Population Growth (% Change since 2020)]) - MIN(All_Cities_WCS[Population Growth (% Change since 2020)])) * 100</f>
        <v>47.368421052631582</v>
      </c>
      <c r="H38" s="24">
        <f>VLOOKUP(All_Cities_WCS[[#This Row],[City Name]],Income_Data_Lookup[#All],2,FALSE)</f>
        <v>70395</v>
      </c>
      <c r="I38" s="72">
        <f>(All_Cities_WCS[[#This Row],[Per Capita Personal Income (2023)]] - MIN(All_Cities_WCS[Per Capita Personal Income (2023)]))/(MAX(All_Cities_WCS[Per Capita Personal Income (2023)]) - MIN(All_Cities_WCS[Per Capita Personal Income (2023)])) * 100</f>
        <v>17.857920819038284</v>
      </c>
      <c r="J38" s="17">
        <f>VLOOKUP(All_Cities_WCS[[#This Row],[City Name]],Nielsen_TV_Market_Lookup[#All],2,FALSE)</f>
        <v>29</v>
      </c>
      <c r="K38" s="37">
        <f>(All_Cities_WCS[[#This Row],[Nielsen TV Market Rank]] - MAX(All_Cities_WCS[Nielsen TV Market Rank]))/(MIN(All_Cities_WCS[Nielsen TV Market Rank]) - MAX(All_Cities_WCS[Nielsen TV Market Rank])) * 100</f>
        <v>61.643835616438359</v>
      </c>
      <c r="L38" s="17">
        <f>VLOOKUP(All_Cities_WCS[[#This Row],[City Name]],Google_Trend_Score[#All],2,FALSE)</f>
        <v>50</v>
      </c>
      <c r="M38" s="37">
        <f>(All_Cities_WCS[[#This Row],[NBA Google Analytic Trend Score (0-100)]] - MIN(All_Cities_WCS[NBA Google Analytic Trend Score (0-100)]))/(MAX(All_Cities_WCS[NBA Google Analytic Trend Score (0-100)]) - MIN(All_Cities_WCS[NBA Google Analytic Trend Score (0-100)])) * 100</f>
        <v>28.30188679245283</v>
      </c>
      <c r="N38" s="17">
        <f>VLOOKUP(All_Cities_WCS[[#This Row],[City Name]],Demographic_Data_Lookup12[#All],2,FALSE)</f>
        <v>45.5</v>
      </c>
      <c r="O38"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85.714285714285722</v>
      </c>
      <c r="P38" s="17">
        <v>100</v>
      </c>
      <c r="Q38" s="25">
        <f>COUNTIF(Fortune_500_Companies_Lookup[City],All_Cities_WCS[[#This Row],[City Name]])</f>
        <v>0</v>
      </c>
      <c r="R38" s="91">
        <f>All_Cities_WCS[[#This Row],[Fortune 500 HQ''s]]/72 * 100</f>
        <v>0</v>
      </c>
      <c r="S38"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37.702572757382015</v>
      </c>
    </row>
    <row r="39" spans="1:19">
      <c r="A39" s="46" t="s">
        <v>187</v>
      </c>
      <c r="B39" s="44" t="s">
        <v>188</v>
      </c>
      <c r="C39" s="44" t="s">
        <v>28</v>
      </c>
      <c r="D39" s="24">
        <f>VLOOKUP('All Cities WCS'!B39,USA_Metro_Population_Lookup[#All],2,FALSE)</f>
        <v>2763006</v>
      </c>
      <c r="E39" s="72">
        <f>(All_Cities_WCS[[#This Row],[Metro Population 2024]] - MIN(All_Cities_WCS[Metro Population 2024]))/(MAX(All_Cities_WCS[Metro Population 2024]) - MIN(All_Cities_WCS[Metro Population 2024])) * 100</f>
        <v>9.4696523313638359</v>
      </c>
      <c r="F39" s="17">
        <f>VLOOKUP('All Cities WCS'!B39,USA_Metro_Population_Lookup[#All],3,FALSE)</f>
        <v>8.01</v>
      </c>
      <c r="G39" s="37">
        <f>(All_Cities_WCS[[#This Row],[Population Growth (% Change since 2020)]] - MIN(All_Cities_WCS[Population Growth (% Change since 2020)]))/(MAX(All_Cities_WCS[Population Growth (% Change since 2020)]) - MIN(All_Cities_WCS[Population Growth (% Change since 2020)])) * 100</f>
        <v>76.601141407736208</v>
      </c>
      <c r="H39" s="24">
        <f>VLOOKUP(All_Cities_WCS[[#This Row],[City Name]],Income_Data_Lookup[#All],2,FALSE)</f>
        <v>59477</v>
      </c>
      <c r="I39" s="72">
        <f>(All_Cities_WCS[[#This Row],[Per Capita Personal Income (2023)]] - MIN(All_Cities_WCS[Per Capita Personal Income (2023)]))/(MAX(All_Cities_WCS[Per Capita Personal Income (2023)]) - MIN(All_Cities_WCS[Per Capita Personal Income (2023)])) * 100</f>
        <v>2.9937918640744976</v>
      </c>
      <c r="J39" s="17">
        <f>VLOOKUP(All_Cities_WCS[[#This Row],[City Name]],Nielsen_TV_Market_Lookup[#All],2,FALSE)</f>
        <v>32</v>
      </c>
      <c r="K39" s="37">
        <f>(All_Cities_WCS[[#This Row],[Nielsen TV Market Rank]] - MAX(All_Cities_WCS[Nielsen TV Market Rank]))/(MIN(All_Cities_WCS[Nielsen TV Market Rank]) - MAX(All_Cities_WCS[Nielsen TV Market Rank])) * 100</f>
        <v>57.534246575342465</v>
      </c>
      <c r="L39" s="17">
        <f>VLOOKUP(All_Cities_WCS[[#This Row],[City Name]],Google_Trend_Score[#All],2,FALSE)</f>
        <v>62</v>
      </c>
      <c r="M39" s="37">
        <f>(All_Cities_WCS[[#This Row],[NBA Google Analytic Trend Score (0-100)]] - MIN(All_Cities_WCS[NBA Google Analytic Trend Score (0-100)]))/(MAX(All_Cities_WCS[NBA Google Analytic Trend Score (0-100)]) - MIN(All_Cities_WCS[NBA Google Analytic Trend Score (0-100)])) * 100</f>
        <v>50.943396226415096</v>
      </c>
      <c r="N39" s="17">
        <f>VLOOKUP(All_Cities_WCS[[#This Row],[City Name]],Demographic_Data_Lookup12[#All],2,FALSE)</f>
        <v>42.9</v>
      </c>
      <c r="O39"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59.183673469387742</v>
      </c>
      <c r="P39" s="17">
        <v>100</v>
      </c>
      <c r="Q39" s="25">
        <f>COUNTIF(Fortune_500_Companies_Lookup[City],All_Cities_WCS[[#This Row],[City Name]])</f>
        <v>3</v>
      </c>
      <c r="R39" s="91">
        <f>All_Cities_WCS[[#This Row],[Fortune 500 HQ''s]]/72 * 100</f>
        <v>4.1666666666666661</v>
      </c>
      <c r="S39"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41.015968750825571</v>
      </c>
    </row>
    <row r="40" spans="1:19">
      <c r="A40" s="23" t="s">
        <v>60</v>
      </c>
      <c r="B40" s="17" t="s">
        <v>61</v>
      </c>
      <c r="C40" s="44" t="s">
        <v>23</v>
      </c>
      <c r="D40" s="24">
        <f>VLOOKUP('All Cities WCS'!B40,USA_Metro_Population_Lookup[#All],2,FALSE)</f>
        <v>3298799</v>
      </c>
      <c r="E40" s="72">
        <f>(All_Cities_WCS[[#This Row],[Metro Population 2024]] - MIN(All_Cities_WCS[Metro Population 2024]))/(MAX(All_Cities_WCS[Metro Population 2024]) - MIN(All_Cities_WCS[Metro Population 2024])) * 100</f>
        <v>12.293473125707941</v>
      </c>
      <c r="F40" s="17">
        <f>VLOOKUP('All Cities WCS'!B40,USA_Metro_Population_Lookup[#All],3,FALSE)</f>
        <v>0.01</v>
      </c>
      <c r="G40" s="37">
        <f>(All_Cities_WCS[[#This Row],[Population Growth (% Change since 2020)]] - MIN(All_Cities_WCS[Population Growth (% Change since 2020)]))/(MAX(All_Cities_WCS[Population Growth (% Change since 2020)]) - MIN(All_Cities_WCS[Population Growth (% Change since 2020)])) * 100</f>
        <v>25.871908687381108</v>
      </c>
      <c r="H40" s="24">
        <f>VLOOKUP(All_Cities_WCS[[#This Row],[City Name]],Income_Data_Lookup[#All],2,FALSE)</f>
        <v>79122</v>
      </c>
      <c r="I40" s="72">
        <f>(All_Cities_WCS[[#This Row],[Per Capita Personal Income (2023)]] - MIN(All_Cities_WCS[Per Capita Personal Income (2023)]))/(MAX(All_Cities_WCS[Per Capita Personal Income (2023)]) - MIN(All_Cities_WCS[Per Capita Personal Income (2023)])) * 100</f>
        <v>29.739149376463541</v>
      </c>
      <c r="J40" s="17">
        <f>VLOOKUP(All_Cities_WCS[[#This Row],[City Name]],Nielsen_TV_Market_Lookup[#All],2,FALSE)</f>
        <v>31</v>
      </c>
      <c r="K40" s="37">
        <f>(All_Cities_WCS[[#This Row],[Nielsen TV Market Rank]] - MAX(All_Cities_WCS[Nielsen TV Market Rank]))/(MIN(All_Cities_WCS[Nielsen TV Market Rank]) - MAX(All_Cities_WCS[Nielsen TV Market Rank])) * 100</f>
        <v>58.904109589041099</v>
      </c>
      <c r="L40" s="17">
        <f>VLOOKUP(All_Cities_WCS[[#This Row],[City Name]],Google_Trend_Score[#All],2,FALSE)</f>
        <v>55</v>
      </c>
      <c r="M40" s="37">
        <f>(All_Cities_WCS[[#This Row],[NBA Google Analytic Trend Score (0-100)]] - MIN(All_Cities_WCS[NBA Google Analytic Trend Score (0-100)]))/(MAX(All_Cities_WCS[NBA Google Analytic Trend Score (0-100)]) - MIN(All_Cities_WCS[NBA Google Analytic Trend Score (0-100)])) * 100</f>
        <v>37.735849056603776</v>
      </c>
      <c r="N40" s="17">
        <f>VLOOKUP(All_Cities_WCS[[#This Row],[City Name]],Demographic_Data_Lookup12[#All],2,FALSE)</f>
        <v>43.5</v>
      </c>
      <c r="O40"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65.306122448979593</v>
      </c>
      <c r="P40" s="17">
        <v>0</v>
      </c>
      <c r="Q40" s="25">
        <f>COUNTIF(Fortune_500_Companies_Lookup[City],All_Cities_WCS[[#This Row],[City Name]])</f>
        <v>3</v>
      </c>
      <c r="R40" s="91">
        <f>All_Cities_WCS[[#This Row],[Fortune 500 HQ''s]]/72 * 100</f>
        <v>4.1666666666666661</v>
      </c>
      <c r="S40"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27.411628110847399</v>
      </c>
    </row>
    <row r="41" spans="1:19">
      <c r="A41" s="23" t="s">
        <v>121</v>
      </c>
      <c r="B41" s="17" t="s">
        <v>122</v>
      </c>
      <c r="C41" s="44" t="s">
        <v>23</v>
      </c>
      <c r="D41" s="24">
        <f>VLOOKUP('All Cities WCS'!B41,USA_Metro_Population_Lookup[#All],2,FALSE)</f>
        <v>6643970</v>
      </c>
      <c r="E41" s="72">
        <f>(All_Cities_WCS[[#This Row],[Metro Population 2024]] - MIN(All_Cities_WCS[Metro Population 2024]))/(MAX(All_Cities_WCS[Metro Population 2024]) - MIN(All_Cities_WCS[Metro Population 2024])) * 100</f>
        <v>29.923721058093889</v>
      </c>
      <c r="F41" s="17">
        <f>VLOOKUP('All Cities WCS'!B41,USA_Metro_Population_Lookup[#All],3,FALSE)</f>
        <v>-2.12</v>
      </c>
      <c r="G41" s="37">
        <f>(All_Cities_WCS[[#This Row],[Population Growth (% Change since 2020)]] - MIN(All_Cities_WCS[Population Growth (% Change since 2020)]))/(MAX(All_Cities_WCS[Population Growth (% Change since 2020)]) - MIN(All_Cities_WCS[Population Growth (% Change since 2020)])) * 100</f>
        <v>12.365250475586558</v>
      </c>
      <c r="H41" s="24">
        <f>VLOOKUP(All_Cities_WCS[[#This Row],[City Name]],Income_Data_Lookup[#All],2,FALSE)</f>
        <v>130730</v>
      </c>
      <c r="I41" s="72">
        <f>(All_Cities_WCS[[#This Row],[Per Capita Personal Income (2023)]] - MIN(All_Cities_WCS[Per Capita Personal Income (2023)]))/(MAX(All_Cities_WCS[Per Capita Personal Income (2023)]) - MIN(All_Cities_WCS[Per Capita Personal Income (2023)])) * 100</f>
        <v>100</v>
      </c>
      <c r="J41" s="17">
        <f>VLOOKUP(All_Cities_WCS[[#This Row],[City Name]],Nielsen_TV_Market_Lookup[#All],2,FALSE)</f>
        <v>11</v>
      </c>
      <c r="K41" s="37">
        <f>(All_Cities_WCS[[#This Row],[Nielsen TV Market Rank]] - MAX(All_Cities_WCS[Nielsen TV Market Rank]))/(MIN(All_Cities_WCS[Nielsen TV Market Rank]) - MAX(All_Cities_WCS[Nielsen TV Market Rank])) * 100</f>
        <v>86.301369863013704</v>
      </c>
      <c r="L41" s="17">
        <f>VLOOKUP(All_Cities_WCS[[#This Row],[City Name]],Google_Trend_Score[#All],2,FALSE)</f>
        <v>81</v>
      </c>
      <c r="M41" s="37">
        <f>(All_Cities_WCS[[#This Row],[NBA Google Analytic Trend Score (0-100)]] - MIN(All_Cities_WCS[NBA Google Analytic Trend Score (0-100)]))/(MAX(All_Cities_WCS[NBA Google Analytic Trend Score (0-100)]) - MIN(All_Cities_WCS[NBA Google Analytic Trend Score (0-100)])) * 100</f>
        <v>86.79245283018868</v>
      </c>
      <c r="N41" s="17">
        <f>VLOOKUP(All_Cities_WCS[[#This Row],[City Name]],Demographic_Data_Lookup12[#All],2,FALSE)</f>
        <v>40.700000000000003</v>
      </c>
      <c r="O41"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36.734693877551045</v>
      </c>
      <c r="P41" s="17">
        <v>100</v>
      </c>
      <c r="Q41" s="25">
        <f>COUNTIF(Fortune_500_Companies_Lookup[City],All_Cities_WCS[[#This Row],[City Name]])</f>
        <v>41</v>
      </c>
      <c r="R41" s="91">
        <f>All_Cities_WCS[[#This Row],[Fortune 500 HQ''s]]/72 * 100</f>
        <v>56.944444444444443</v>
      </c>
      <c r="S41"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59.516827884476555</v>
      </c>
    </row>
    <row r="42" spans="1:19">
      <c r="A42" s="46" t="s">
        <v>63</v>
      </c>
      <c r="B42" s="44" t="s">
        <v>64</v>
      </c>
      <c r="C42" s="44" t="s">
        <v>23</v>
      </c>
      <c r="D42" s="24">
        <f>VLOOKUP('All Cities WCS'!B42,USA_Metro_Population_Lookup[#All],2,FALSE)</f>
        <v>4145494</v>
      </c>
      <c r="E42" s="72">
        <f>(All_Cities_WCS[[#This Row],[Metro Population 2024]] - MIN(All_Cities_WCS[Metro Population 2024]))/(MAX(All_Cities_WCS[Metro Population 2024]) - MIN(All_Cities_WCS[Metro Population 2024])) * 100</f>
        <v>16.75585868779476</v>
      </c>
      <c r="F42" s="17">
        <f>VLOOKUP('All Cities WCS'!B42,USA_Metro_Population_Lookup[#All],3,FALSE)</f>
        <v>3.15</v>
      </c>
      <c r="G42" s="37">
        <f>(All_Cities_WCS[[#This Row],[Population Growth (% Change since 2020)]] - MIN(All_Cities_WCS[Population Growth (% Change since 2020)]))/(MAX(All_Cities_WCS[Population Growth (% Change since 2020)]) - MIN(All_Cities_WCS[Population Growth (% Change since 2020)])) * 100</f>
        <v>45.783132530120483</v>
      </c>
      <c r="H42" s="24">
        <f>VLOOKUP(All_Cities_WCS[[#This Row],[City Name]],Income_Data_Lookup[#All],2,FALSE)</f>
        <v>99339</v>
      </c>
      <c r="I42" s="72">
        <f>(All_Cities_WCS[[#This Row],[Per Capita Personal Income (2023)]] - MIN(All_Cities_WCS[Per Capita Personal Income (2023)]))/(MAX(All_Cities_WCS[Per Capita Personal Income (2023)]) - MIN(All_Cities_WCS[Per Capita Personal Income (2023)])) * 100</f>
        <v>57.263246746174367</v>
      </c>
      <c r="J42" s="17">
        <f>VLOOKUP(All_Cities_WCS[[#This Row],[City Name]],Nielsen_TV_Market_Lookup[#All],2,FALSE)</f>
        <v>14</v>
      </c>
      <c r="K42" s="37">
        <f>(All_Cities_WCS[[#This Row],[Nielsen TV Market Rank]] - MAX(All_Cities_WCS[Nielsen TV Market Rank]))/(MIN(All_Cities_WCS[Nielsen TV Market Rank]) - MAX(All_Cities_WCS[Nielsen TV Market Rank])) * 100</f>
        <v>82.191780821917803</v>
      </c>
      <c r="L42" s="17">
        <f>VLOOKUP(All_Cities_WCS[[#This Row],[City Name]],Google_Trend_Score[#All],2,FALSE)</f>
        <v>42</v>
      </c>
      <c r="M42" s="37">
        <f>(All_Cities_WCS[[#This Row],[NBA Google Analytic Trend Score (0-100)]] - MIN(All_Cities_WCS[NBA Google Analytic Trend Score (0-100)]))/(MAX(All_Cities_WCS[NBA Google Analytic Trend Score (0-100)]) - MIN(All_Cities_WCS[NBA Google Analytic Trend Score (0-100)])) * 100</f>
        <v>13.20754716981132</v>
      </c>
      <c r="N42" s="17">
        <f>VLOOKUP(All_Cities_WCS[[#This Row],[City Name]],Demographic_Data_Lookup12[#All],2,FALSE)</f>
        <v>44.2</v>
      </c>
      <c r="O42"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72.448979591836775</v>
      </c>
      <c r="P42" s="17">
        <v>100</v>
      </c>
      <c r="Q42" s="25">
        <f>COUNTIF(Fortune_500_Companies_Lookup[City],All_Cities_WCS[[#This Row],[City Name]])</f>
        <v>11</v>
      </c>
      <c r="R42" s="91">
        <f>All_Cities_WCS[[#This Row],[Fortune 500 HQ''s]]/72 * 100</f>
        <v>15.277777777777779</v>
      </c>
      <c r="S42"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47.120737165137548</v>
      </c>
    </row>
    <row r="43" spans="1:19">
      <c r="A43" s="23" t="s">
        <v>66</v>
      </c>
      <c r="B43" s="17" t="s">
        <v>67</v>
      </c>
      <c r="C43" s="17" t="s">
        <v>43</v>
      </c>
      <c r="D43" s="24">
        <f>VLOOKUP('All Cities WCS'!B43,USA_Metro_Population_Lookup[#All],2,FALSE)</f>
        <v>2811927</v>
      </c>
      <c r="E43" s="72">
        <f>(All_Cities_WCS[[#This Row],[Metro Population 2024]] - MIN(All_Cities_WCS[Metro Population 2024]))/(MAX(All_Cities_WCS[Metro Population 2024]) - MIN(All_Cities_WCS[Metro Population 2024])) * 100</f>
        <v>9.7274835032531808</v>
      </c>
      <c r="F43" s="17">
        <f>VLOOKUP('All Cities WCS'!B43,USA_Metro_Population_Lookup[#All],3,FALSE)</f>
        <v>-0.3</v>
      </c>
      <c r="G43" s="37">
        <f>(All_Cities_WCS[[#This Row],[Population Growth (% Change since 2020)]] - MIN(All_Cities_WCS[Population Growth (% Change since 2020)]))/(MAX(All_Cities_WCS[Population Growth (% Change since 2020)]) - MIN(All_Cities_WCS[Population Growth (% Change since 2020)])) * 100</f>
        <v>23.906150919467347</v>
      </c>
      <c r="H43" s="24">
        <f>VLOOKUP(All_Cities_WCS[[#This Row],[City Name]],Income_Data_Lookup[#All],2,FALSE)</f>
        <v>75577</v>
      </c>
      <c r="I43" s="72">
        <f>(All_Cities_WCS[[#This Row],[Per Capita Personal Income (2023)]] - MIN(All_Cities_WCS[Per Capita Personal Income (2023)]))/(MAX(All_Cities_WCS[Per Capita Personal Income (2023)]) - MIN(All_Cities_WCS[Per Capita Personal Income (2023)])) * 100</f>
        <v>24.912868267712248</v>
      </c>
      <c r="J43" s="17">
        <f>VLOOKUP(All_Cities_WCS[[#This Row],[City Name]],Nielsen_TV_Market_Lookup[#All],2,FALSE)</f>
        <v>25</v>
      </c>
      <c r="K43" s="37">
        <f>(All_Cities_WCS[[#This Row],[Nielsen TV Market Rank]] - MAX(All_Cities_WCS[Nielsen TV Market Rank]))/(MIN(All_Cities_WCS[Nielsen TV Market Rank]) - MAX(All_Cities_WCS[Nielsen TV Market Rank])) * 100</f>
        <v>67.123287671232873</v>
      </c>
      <c r="L43" s="17">
        <f>VLOOKUP(All_Cities_WCS[[#This Row],[City Name]],Google_Trend_Score[#All],2,FALSE)</f>
        <v>43</v>
      </c>
      <c r="M43" s="37">
        <f>(All_Cities_WCS[[#This Row],[NBA Google Analytic Trend Score (0-100)]] - MIN(All_Cities_WCS[NBA Google Analytic Trend Score (0-100)]))/(MAX(All_Cities_WCS[NBA Google Analytic Trend Score (0-100)]) - MIN(All_Cities_WCS[NBA Google Analytic Trend Score (0-100)])) * 100</f>
        <v>15.09433962264151</v>
      </c>
      <c r="N43" s="17">
        <f>VLOOKUP(All_Cities_WCS[[#This Row],[City Name]],Demographic_Data_Lookup12[#All],2,FALSE)</f>
        <v>38.799999999999997</v>
      </c>
      <c r="O43"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17.346938775510164</v>
      </c>
      <c r="P43" s="17">
        <v>100</v>
      </c>
      <c r="Q43" s="25">
        <f>COUNTIF(Fortune_500_Companies_Lookup[City],All_Cities_WCS[[#This Row],[City Name]])</f>
        <v>7</v>
      </c>
      <c r="R43" s="91">
        <f>All_Cities_WCS[[#This Row],[Fortune 500 HQ''s]]/72 * 100</f>
        <v>9.7222222222222232</v>
      </c>
      <c r="S43"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30.197028407888251</v>
      </c>
    </row>
    <row r="44" spans="1:19">
      <c r="A44" s="46" t="s">
        <v>69</v>
      </c>
      <c r="B44" s="44" t="s">
        <v>70</v>
      </c>
      <c r="C44" s="44" t="s">
        <v>28</v>
      </c>
      <c r="D44" s="24">
        <f>VLOOKUP('All Cities WCS'!B44,USA_Metro_Population_Lookup[#All],2,FALSE)</f>
        <v>3424560</v>
      </c>
      <c r="E44" s="72">
        <f>(All_Cities_WCS[[#This Row],[Metro Population 2024]] - MIN(All_Cities_WCS[Metro Population 2024]))/(MAX(All_Cities_WCS[Metro Population 2024]) - MIN(All_Cities_WCS[Metro Population 2024])) * 100</f>
        <v>12.956278587738071</v>
      </c>
      <c r="F44" s="17">
        <f>VLOOKUP('All Cities WCS'!B44,USA_Metro_Population_Lookup[#All],3,FALSE)</f>
        <v>7.85</v>
      </c>
      <c r="G44" s="37">
        <f>(All_Cities_WCS[[#This Row],[Population Growth (% Change since 2020)]] - MIN(All_Cities_WCS[Population Growth (% Change since 2020)]))/(MAX(All_Cities_WCS[Population Growth (% Change since 2020)]) - MIN(All_Cities_WCS[Population Growth (% Change since 2020)])) * 100</f>
        <v>75.586556753329106</v>
      </c>
      <c r="H44" s="24">
        <f>VLOOKUP(All_Cities_WCS[[#This Row],[City Name]],Income_Data_Lookup[#All],2,FALSE)</f>
        <v>63789</v>
      </c>
      <c r="I44" s="72">
        <f>(All_Cities_WCS[[#This Row],[Per Capita Personal Income (2023)]] - MIN(All_Cities_WCS[Per Capita Personal Income (2023)]))/(MAX(All_Cities_WCS[Per Capita Personal Income (2023)]) - MIN(All_Cities_WCS[Per Capita Personal Income (2023)])) * 100</f>
        <v>8.8642923269618255</v>
      </c>
      <c r="J44" s="17">
        <f>VLOOKUP(All_Cities_WCS[[#This Row],[City Name]],Nielsen_TV_Market_Lookup[#All],2,FALSE)</f>
        <v>12</v>
      </c>
      <c r="K44" s="37">
        <f>(All_Cities_WCS[[#This Row],[Nielsen TV Market Rank]] - MAX(All_Cities_WCS[Nielsen TV Market Rank]))/(MIN(All_Cities_WCS[Nielsen TV Market Rank]) - MAX(All_Cities_WCS[Nielsen TV Market Rank])) * 100</f>
        <v>84.93150684931507</v>
      </c>
      <c r="L44" s="17">
        <f>VLOOKUP(All_Cities_WCS[[#This Row],[City Name]],Google_Trend_Score[#All],2,FALSE)</f>
        <v>42</v>
      </c>
      <c r="M44" s="37">
        <f>(All_Cities_WCS[[#This Row],[NBA Google Analytic Trend Score (0-100)]] - MIN(All_Cities_WCS[NBA Google Analytic Trend Score (0-100)]))/(MAX(All_Cities_WCS[NBA Google Analytic Trend Score (0-100)]) - MIN(All_Cities_WCS[NBA Google Analytic Trend Score (0-100)])) * 100</f>
        <v>13.20754716981132</v>
      </c>
      <c r="N44" s="17">
        <f>VLOOKUP(All_Cities_WCS[[#This Row],[City Name]],Demographic_Data_Lookup12[#All],2,FALSE)</f>
        <v>37.700000000000003</v>
      </c>
      <c r="O44"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6.1224489795918533</v>
      </c>
      <c r="P44" s="17">
        <v>100</v>
      </c>
      <c r="Q44" s="25">
        <f>COUNTIF(Fortune_500_Companies_Lookup[City],All_Cities_WCS[[#This Row],[City Name]])</f>
        <v>5</v>
      </c>
      <c r="R44" s="91">
        <f>All_Cities_WCS[[#This Row],[Fortune 500 HQ''s]]/72 * 100</f>
        <v>6.9444444444444446</v>
      </c>
      <c r="S44"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36.379477823907521</v>
      </c>
    </row>
    <row r="45" spans="1:19">
      <c r="A45" s="23" t="s">
        <v>191</v>
      </c>
      <c r="B45" s="17" t="s">
        <v>192</v>
      </c>
      <c r="C45" s="17" t="s">
        <v>33</v>
      </c>
      <c r="D45" s="24">
        <f>VLOOKUP('All Cities WCS'!B45,USA_Metro_Population_Lookup[#All],2,FALSE)</f>
        <v>7106379</v>
      </c>
      <c r="E45" s="72">
        <f>(All_Cities_WCS[[#This Row],[Metro Population 2024]] - MIN(All_Cities_WCS[Metro Population 2024]))/(MAX(All_Cities_WCS[Metro Population 2024]) - MIN(All_Cities_WCS[Metro Population 2024])) * 100</f>
        <v>32.360781918709577</v>
      </c>
      <c r="F45" s="17">
        <f>VLOOKUP('All Cities WCS'!B45,USA_Metro_Population_Lookup[#All],3,FALSE)</f>
        <v>4.74</v>
      </c>
      <c r="G45" s="37">
        <f>(All_Cities_WCS[[#This Row],[Population Growth (% Change since 2020)]] - MIN(All_Cities_WCS[Population Growth (% Change since 2020)]))/(MAX(All_Cities_WCS[Population Growth (% Change since 2020)]) - MIN(All_Cities_WCS[Population Growth (% Change since 2020)])) * 100</f>
        <v>55.865567533291063</v>
      </c>
      <c r="H45" s="24">
        <f>VLOOKUP(All_Cities_WCS[[#This Row],[City Name]],Income_Data_Lookup[#All],2,FALSE)</f>
        <v>57549</v>
      </c>
      <c r="I45" s="72">
        <f>(All_Cities_WCS[[#This Row],[Per Capita Personal Income (2023)]] - MIN(All_Cities_WCS[Per Capita Personal Income (2023)]))/(MAX(All_Cities_WCS[Per Capita Personal Income (2023)]) - MIN(All_Cities_WCS[Per Capita Personal Income (2023)])) * 100</f>
        <v>0.3689484289059522</v>
      </c>
      <c r="J45" s="17">
        <f>VLOOKUP(All_Cities_WCS[[#This Row],[City Name]],Nielsen_TV_Market_Lookup[#All],2,FALSE)</f>
        <v>8</v>
      </c>
      <c r="K45" s="37">
        <f>(All_Cities_WCS[[#This Row],[Nielsen TV Market Rank]] - MAX(All_Cities_WCS[Nielsen TV Market Rank]))/(MIN(All_Cities_WCS[Nielsen TV Market Rank]) - MAX(All_Cities_WCS[Nielsen TV Market Rank])) * 100</f>
        <v>90.410958904109577</v>
      </c>
      <c r="L45" s="17">
        <f>VLOOKUP(All_Cities_WCS[[#This Row],[City Name]],Google_Trend_Score[#All],2,FALSE)</f>
        <v>77</v>
      </c>
      <c r="M45" s="37">
        <f>(All_Cities_WCS[[#This Row],[NBA Google Analytic Trend Score (0-100)]] - MIN(All_Cities_WCS[NBA Google Analytic Trend Score (0-100)]))/(MAX(All_Cities_WCS[NBA Google Analytic Trend Score (0-100)]) - MIN(All_Cities_WCS[NBA Google Analytic Trend Score (0-100)])) * 100</f>
        <v>79.245283018867923</v>
      </c>
      <c r="N45" s="17">
        <f>VLOOKUP(All_Cities_WCS[[#This Row],[City Name]],Demographic_Data_Lookup12[#All],2,FALSE)</f>
        <v>43.3</v>
      </c>
      <c r="O45"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63.265306122448948</v>
      </c>
      <c r="P45" s="17">
        <v>100</v>
      </c>
      <c r="Q45" s="25">
        <f>COUNTIF(Fortune_500_Companies_Lookup[City],All_Cities_WCS[[#This Row],[City Name]])</f>
        <v>0</v>
      </c>
      <c r="R45" s="91">
        <f>All_Cities_WCS[[#This Row],[Fortune 500 HQ''s]]/72 * 100</f>
        <v>0</v>
      </c>
      <c r="S45"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48.199488582614109</v>
      </c>
    </row>
    <row r="46" spans="1:19">
      <c r="A46" s="23" t="s">
        <v>72</v>
      </c>
      <c r="B46" s="17" t="s">
        <v>73</v>
      </c>
      <c r="C46" s="17" t="s">
        <v>74</v>
      </c>
      <c r="D46" s="24">
        <f>VLOOKUP('All Cities WCS'!B46,USA_Metro_Population_Lookup[#All],2,FALSE)</f>
        <v>1794278</v>
      </c>
      <c r="E46" s="72">
        <f>(All_Cities_WCS[[#This Row],[Metro Population 2024]] - MIN(All_Cities_WCS[Metro Population 2024]))/(MAX(All_Cities_WCS[Metro Population 2024]) - MIN(All_Cities_WCS[Metro Population 2024])) * 100</f>
        <v>4.3641092009694935</v>
      </c>
      <c r="F46" s="17">
        <f>VLOOKUP('All Cities WCS'!B46,USA_Metro_Population_Lookup[#All],3,FALSE)</f>
        <v>0.8</v>
      </c>
      <c r="G46" s="37">
        <f>(All_Cities_WCS[[#This Row],[Population Growth (% Change since 2020)]] - MIN(All_Cities_WCS[Population Growth (% Change since 2020)]))/(MAX(All_Cities_WCS[Population Growth (% Change since 2020)]) - MIN(All_Cities_WCS[Population Growth (% Change since 2020)])) * 100</f>
        <v>30.881420418516171</v>
      </c>
      <c r="H46" s="24">
        <f>VLOOKUP(All_Cities_WCS[[#This Row],[City Name]],Income_Data_Lookup[#All],2,FALSE)</f>
        <v>62575</v>
      </c>
      <c r="I46" s="72">
        <f>(All_Cities_WCS[[#This Row],[Per Capita Personal Income (2023)]] - MIN(All_Cities_WCS[Per Capita Personal Income (2023)]))/(MAX(All_Cities_WCS[Per Capita Personal Income (2023)]) - MIN(All_Cities_WCS[Per Capita Personal Income (2023)])) * 100</f>
        <v>7.2115122801285194</v>
      </c>
      <c r="J46" s="17">
        <f>VLOOKUP(All_Cities_WCS[[#This Row],[City Name]],Nielsen_TV_Market_Lookup[#All],2,FALSE)</f>
        <v>45</v>
      </c>
      <c r="K46" s="37">
        <f>(All_Cities_WCS[[#This Row],[Nielsen TV Market Rank]] - MAX(All_Cities_WCS[Nielsen TV Market Rank]))/(MIN(All_Cities_WCS[Nielsen TV Market Rank]) - MAX(All_Cities_WCS[Nielsen TV Market Rank])) * 100</f>
        <v>39.726027397260275</v>
      </c>
      <c r="L46" s="17">
        <f>VLOOKUP(All_Cities_WCS[[#This Row],[City Name]],Google_Trend_Score[#All],2,FALSE)</f>
        <v>52</v>
      </c>
      <c r="M46" s="37">
        <f>(All_Cities_WCS[[#This Row],[NBA Google Analytic Trend Score (0-100)]] - MIN(All_Cities_WCS[NBA Google Analytic Trend Score (0-100)]))/(MAX(All_Cities_WCS[NBA Google Analytic Trend Score (0-100)]) - MIN(All_Cities_WCS[NBA Google Analytic Trend Score (0-100)])) * 100</f>
        <v>32.075471698113205</v>
      </c>
      <c r="N46" s="17">
        <f>VLOOKUP(All_Cities_WCS[[#This Row],[City Name]],Demographic_Data_Lookup12[#All],2,FALSE)</f>
        <v>41.9</v>
      </c>
      <c r="O46"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48.979591836734684</v>
      </c>
      <c r="P46" s="17">
        <v>0</v>
      </c>
      <c r="Q46" s="25">
        <f>COUNTIF(Fortune_500_Companies_Lookup[City],All_Cities_WCS[[#This Row],[City Name]])</f>
        <v>3</v>
      </c>
      <c r="R46" s="91">
        <f>All_Cities_WCS[[#This Row],[Fortune 500 HQ''s]]/72 * 100</f>
        <v>4.1666666666666661</v>
      </c>
      <c r="S46"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19.081537504868088</v>
      </c>
    </row>
    <row r="47" spans="1:19">
      <c r="A47" s="28" t="s">
        <v>199</v>
      </c>
      <c r="B47" s="29" t="s">
        <v>200</v>
      </c>
      <c r="C47" s="17" t="s">
        <v>74</v>
      </c>
      <c r="D47" s="30">
        <f>VLOOKUP('All Cities WCS'!B47,USA_Metro_Population_Lookup[#All],2,FALSE)</f>
        <v>6436489</v>
      </c>
      <c r="E47" s="72">
        <f>(All_Cities_WCS[[#This Row],[Metro Population 2024]] - MIN(All_Cities_WCS[Metro Population 2024]))/(MAX(All_Cities_WCS[Metro Population 2024]) - MIN(All_Cities_WCS[Metro Population 2024])) * 100</f>
        <v>28.830221960062914</v>
      </c>
      <c r="F47" s="29">
        <f>VLOOKUP('All Cities WCS'!B47,USA_Metro_Population_Lookup[#All],3,FALSE)</f>
        <v>2.52</v>
      </c>
      <c r="G47" s="37">
        <f>(All_Cities_WCS[[#This Row],[Population Growth (% Change since 2020)]] - MIN(All_Cities_WCS[Population Growth (% Change since 2020)]))/(MAX(All_Cities_WCS[Population Growth (% Change since 2020)]) - MIN(All_Cities_WCS[Population Growth (% Change since 2020)])) * 100</f>
        <v>41.788205453392521</v>
      </c>
      <c r="H47" s="24">
        <f>VLOOKUP(All_Cities_WCS[[#This Row],[City Name]],Income_Data_Lookup[#All],2,FALSE)</f>
        <v>89396</v>
      </c>
      <c r="I47" s="72">
        <f>(All_Cities_WCS[[#This Row],[Per Capita Personal Income (2023)]] - MIN(All_Cities_WCS[Per Capita Personal Income (2023)]))/(MAX(All_Cities_WCS[Per Capita Personal Income (2023)]) - MIN(All_Cities_WCS[Per Capita Personal Income (2023)])) * 100</f>
        <v>43.72651527528182</v>
      </c>
      <c r="J47" s="17">
        <f>VLOOKUP(All_Cities_WCS[[#This Row],[City Name]],Nielsen_TV_Market_Lookup[#All],2,FALSE)</f>
        <v>9</v>
      </c>
      <c r="K47" s="37">
        <f>(All_Cities_WCS[[#This Row],[Nielsen TV Market Rank]] - MAX(All_Cities_WCS[Nielsen TV Market Rank]))/(MIN(All_Cities_WCS[Nielsen TV Market Rank]) - MAX(All_Cities_WCS[Nielsen TV Market Rank])) * 100</f>
        <v>89.041095890410958</v>
      </c>
      <c r="L47" s="17">
        <f>VLOOKUP(All_Cities_WCS[[#This Row],[City Name]],Google_Trend_Score[#All],2,FALSE)</f>
        <v>47</v>
      </c>
      <c r="M47" s="37">
        <f>(All_Cities_WCS[[#This Row],[NBA Google Analytic Trend Score (0-100)]] - MIN(All_Cities_WCS[NBA Google Analytic Trend Score (0-100)]))/(MAX(All_Cities_WCS[NBA Google Analytic Trend Score (0-100)]) - MIN(All_Cities_WCS[NBA Google Analytic Trend Score (0-100)])) * 100</f>
        <v>22.641509433962266</v>
      </c>
      <c r="N47" s="17">
        <f>VLOOKUP(All_Cities_WCS[[#This Row],[City Name]],Demographic_Data_Lookup12[#All],2,FALSE)</f>
        <v>41.3</v>
      </c>
      <c r="O47" s="37">
        <f>(All_Cities_WCS[[#This Row],[Demographic Data (15 - 44 Age Group as % of Total Population)]] - MIN(All_Cities_WCS[Demographic Data (15 - 44 Age Group as % of Total Population)]))/(MAX(All_Cities_WCS[Demographic Data (15 - 44 Age Group as % of Total Population)]) - MIN(All_Cities_WCS[Demographic Data (15 - 44 Age Group as % of Total Population)])) * 100</f>
        <v>42.857142857142826</v>
      </c>
      <c r="P47" s="17">
        <v>100</v>
      </c>
      <c r="Q47" s="25">
        <f>COUNTIF(Fortune_500_Companies_Lookup[City],All_Cities_WCS[[#This Row],[City Name]])</f>
        <v>20</v>
      </c>
      <c r="R47" s="91">
        <f>All_Cities_WCS[[#This Row],[Fortune 500 HQ''s]]/72 * 100</f>
        <v>27.777777777777779</v>
      </c>
      <c r="S47" s="92">
        <f>All_Cities_WCS[[#This Row],[Metro Population Weighted Score (20%)]] * 0.2 + All_Cities_WCS[[#This Row],[Population Growth Weighted Score (15%)]] * 0.15 + All_Cities_WCS[[#This Row],[Per Capita Income Weighted Score (15%)]] * 0.15 + All_Cities_WCS[[#This Row],[TV Market Rank Weighted Score (10%)]] * 0.1 +All_Cities_WCS[[#This Row],[Google Trend Weighted Score (10%)]] * 0.1 + All_Cities_WCS[[#This Row],[Demographic Weighted Score (10%)]] * 0.1 + All_Cities_WCS[[#This Row],[Arena Criteria (10%)]] * 0.1 + All_Cities_WCS[[#This Row],[Fortune 500 HQ''s Score (10%)]] * 0.1</f>
        <v>46.825005097243121</v>
      </c>
    </row>
  </sheetData>
  <sortState xmlns:xlrd2="http://schemas.microsoft.com/office/spreadsheetml/2017/richdata2" ref="A2:Q47">
    <sortCondition ref="B1:B47"/>
  </sortState>
  <phoneticPr fontId="2" type="noConversion"/>
  <conditionalFormatting sqref="S2:S47">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F250E0-97CA-48A6-B645-72368DC48F37}">
  <sheetPr codeName="Sheet12"/>
  <dimension ref="A1:S17"/>
  <sheetViews>
    <sheetView zoomScaleNormal="100" workbookViewId="0">
      <pane xSplit="1" topLeftCell="B1" activePane="topRight" state="frozen"/>
      <selection pane="topRight" activeCell="S2" sqref="S2:S17"/>
    </sheetView>
  </sheetViews>
  <sheetFormatPr defaultRowHeight="14.45"/>
  <cols>
    <col min="1" max="1" width="9.42578125" customWidth="1"/>
    <col min="2" max="2" width="33.42578125" customWidth="1"/>
    <col min="3" max="3" width="0.42578125" hidden="1" customWidth="1"/>
    <col min="4" max="4" width="15.42578125" bestFit="1" customWidth="1"/>
    <col min="5" max="5" width="38.5703125" hidden="1" customWidth="1"/>
    <col min="6" max="6" width="17.42578125" customWidth="1"/>
    <col min="7" max="7" width="32.85546875" hidden="1" customWidth="1"/>
    <col min="8" max="8" width="17" customWidth="1"/>
    <col min="9" max="9" width="22.42578125" hidden="1" customWidth="1"/>
    <col min="10" max="10" width="15.42578125" bestFit="1" customWidth="1"/>
    <col min="11" max="11" width="25.140625" hidden="1" customWidth="1"/>
    <col min="12" max="12" width="22.140625" bestFit="1" customWidth="1"/>
    <col min="13" max="13" width="35.5703125" hidden="1" customWidth="1"/>
    <col min="14" max="14" width="28.42578125" bestFit="1" customWidth="1"/>
    <col min="15" max="15" width="17.5703125" hidden="1" customWidth="1"/>
    <col min="16" max="16" width="22.140625" bestFit="1" customWidth="1"/>
    <col min="17" max="17" width="16.42578125" hidden="1" customWidth="1"/>
    <col min="18" max="18" width="22.140625" bestFit="1" customWidth="1"/>
    <col min="19" max="19" width="23" bestFit="1" customWidth="1"/>
  </cols>
  <sheetData>
    <row r="1" spans="1:19" ht="43.5">
      <c r="A1" s="47" t="s">
        <v>0</v>
      </c>
      <c r="B1" s="45" t="s">
        <v>1</v>
      </c>
      <c r="C1" s="20" t="s">
        <v>4</v>
      </c>
      <c r="D1" s="54" t="s">
        <v>203</v>
      </c>
      <c r="E1" s="20" t="s">
        <v>6</v>
      </c>
      <c r="F1" s="54" t="s">
        <v>204</v>
      </c>
      <c r="G1" s="21" t="s">
        <v>8</v>
      </c>
      <c r="H1" s="54" t="s">
        <v>205</v>
      </c>
      <c r="I1" s="20" t="s">
        <v>10</v>
      </c>
      <c r="J1" s="54" t="s">
        <v>206</v>
      </c>
      <c r="K1" s="21" t="s">
        <v>11</v>
      </c>
      <c r="L1" s="54" t="s">
        <v>207</v>
      </c>
      <c r="M1" s="21" t="s">
        <v>212</v>
      </c>
      <c r="N1" s="54" t="s">
        <v>208</v>
      </c>
      <c r="O1" s="20" t="s">
        <v>14</v>
      </c>
      <c r="P1" s="88" t="s">
        <v>209</v>
      </c>
      <c r="Q1" s="20" t="s">
        <v>17</v>
      </c>
      <c r="R1" s="54" t="s">
        <v>210</v>
      </c>
      <c r="S1" s="64" t="s">
        <v>19</v>
      </c>
    </row>
    <row r="2" spans="1:19">
      <c r="A2" s="46" t="s">
        <v>21</v>
      </c>
      <c r="B2" s="44" t="s">
        <v>22</v>
      </c>
      <c r="C2" s="24">
        <f>VLOOKUP(Expansion_Cities_Data[[#This Row],[City Name]],USA_Metro_Population_Lookup[],2,FALSE)</f>
        <v>1091764</v>
      </c>
      <c r="D2" s="37">
        <f>((Expansion_WCS[[#This Row],[Metro Population (2024)]]-MIN(Expansion_WCS[Metro Population (2024)]))/(MAX(Expansion_WCS[Metro Population (2024)])-MIN(Expansion_WCS[Metro Population (2024)])))*100</f>
        <v>2.8861333051782108</v>
      </c>
      <c r="E2" s="50">
        <f>VLOOKUP(Expansion_Cities_Data[[#This Row],[City Name]],USA_Metro_Population_Lookup[],3,FALSE)</f>
        <v>1.07</v>
      </c>
      <c r="F2" s="53">
        <f>(Expansion_WCS[[#This Row],[Population Growth (% change since 2020)]]-MIN(Expansion_WCS[Population Growth (% change since 2020)]))/(MAX(Expansion_WCS[Population Growth (% change since 2020)])-MIN(Expansion_WCS[Population Growth (% change since 2020)])) * 100</f>
        <v>16.953125000000004</v>
      </c>
      <c r="G2" s="24">
        <f>VLOOKUP(Expansion_Cities_Data[[#This Row],[City Name]],Income_Data_Lookup[#All], 2, FALSE)</f>
        <v>57278</v>
      </c>
      <c r="H2" s="37">
        <f>(Expansion_WCS[[#This Row],[Per Capita Personal Income (2023)]]-MIN(Expansion_WCS[Per Capita Personal Income (2023)]))/(MAX(Expansion_WCS[Per Capita Personal Income (2023)])-MIN(Expansion_WCS[Per Capita Personal Income (2023)])) * 100</f>
        <v>0</v>
      </c>
      <c r="I2" s="17">
        <f>VLOOKUP(Expansion_Cities_Data[[#This Row],[City Name]],Nielsen_TV_Market_Lookup[],2,FALSE)</f>
        <v>49</v>
      </c>
      <c r="J2" s="37">
        <f>(Expansion_WCS[[#This Row],[Nielsen TV Market Rank]]-MAX(Expansion_WCS[Nielsen TV Market Rank]))/(MIN(Expansion_WCS[Nielsen TV Market Rank])-MAX(Expansion_WCS[Nielsen TV Market Rank])) * 100</f>
        <v>40.322580645161288</v>
      </c>
      <c r="K2" s="17">
        <f>VLOOKUP(Expansion_Cities_Data[[#This Row],[City Name]], Google_Trend_Score[#All], 2, FALSE)</f>
        <v>45</v>
      </c>
      <c r="L2" s="37">
        <f>(Expansion_WCS[[#This Row],[NBA Google Analytic Trend Score (0-100)]]-MIN(Expansion_WCS[NBA Google Analytic Trend Score (0-100)]))/(MAX(Expansion_WCS[NBA Google Analytic Trend Score (0-100)])-MIN(Expansion_WCS[NBA Google Analytic Trend Score (0-100)])) * 100</f>
        <v>28.571428571428569</v>
      </c>
      <c r="M2" s="50">
        <f>VLOOKUP(Expansion_Cities_Data[[#This Row],[City Name]],Demographic_Data_Lookup12[#All], 2, FALSE)</f>
        <v>40.1</v>
      </c>
      <c r="N2" s="37" cm="1">
        <f t="array" ref="N2">(Expansion_WCS[[#This Row],[Demographic Data (15 - 44 Age Group as a % of Total Population)]]-MIN(Expansion_WCS[Demographic Data (15 - 44 Age Group as a % of Total Population)]))/MAX(Expansion_WCS[Demographic Data (15 - 44 Age Group as a % of Total Population)]-MIN(Expansion_WCS[Demographic Data (15 - 44 Age Group as a % of Total Population)])) * 100</f>
        <v>30.61224489795919</v>
      </c>
      <c r="O2" s="17" t="str">
        <f>IF(Expansion_Cities_Data[[#This Row],[Arena Capacity ]] &gt; 15000,"Yes","No")</f>
        <v>No</v>
      </c>
      <c r="P2" s="17">
        <f>IF(Expansion_WCS[[#This Row],[NBA Ready Arena?]] = "YES",100,0)</f>
        <v>0</v>
      </c>
      <c r="Q2" s="17">
        <f>COUNTIF(Fortune_500_Companies_Lookup[City],Expansion_Cities_Data[[#This Row],[City Name]])</f>
        <v>0</v>
      </c>
      <c r="R2" s="37">
        <f>Expansion_WCS[[#This Row],[Fortune 500 HQ''s]]/11 * 100</f>
        <v>0</v>
      </c>
      <c r="S2" s="55">
        <f>(Expansion_WCS[[#This Row],[Metro Population Weighted Score (20%)]]*0.2)+(Expansion_WCS[[#This Row],[Population Growth Weighted Score (15%)]]*0.15)+(Expansion_WCS[[#This Row],[Per Capita Income Weighted Score (15%)]]*0.15)+(Expansion_WCS[[#This Row],[TV Market Rank Weighted Score (10%)]]*0.1)+(Expansion_WCS[[#This Row],[Google Trend Weighted Score (10%)]]*0.1)+(Expansion_WCS[[#This Row],[Demographic Weighted Score (10%)]]*0.1)+(Expansion_WCS[[#This Row],[Arena Criteria (10%)]]*0.1)+(Expansion_WCS[[#This Row],[Fortune 500 HQ''s Score (10%)]]*0.1)</f>
        <v>13.070820822490548</v>
      </c>
    </row>
    <row r="3" spans="1:19">
      <c r="A3" s="23" t="s">
        <v>26</v>
      </c>
      <c r="B3" s="17" t="s">
        <v>27</v>
      </c>
      <c r="C3" s="26">
        <f>VLOOKUP(Expansion_Cities_Data[[#This Row],[City Name]],USA_Metro_Population_Lookup[],2,FALSE)</f>
        <v>2550637</v>
      </c>
      <c r="D3" s="37">
        <f>((Expansion_WCS[[#This Row],[Metro Population (2024)]]-MIN(Expansion_WCS[Metro Population (2024)]))/(MAX(Expansion_WCS[Metro Population (2024)])-MIN(Expansion_WCS[Metro Population (2024)])))*100</f>
        <v>49.280804100132173</v>
      </c>
      <c r="E3" s="51">
        <f>VLOOKUP(Expansion_Cities_Data[[#This Row],[City Name]],USA_Metro_Population_Lookup[],3,FALSE)</f>
        <v>11.7</v>
      </c>
      <c r="F3" s="53">
        <f>(Expansion_WCS[[#This Row],[Population Growth (% change since 2020)]]-MIN(Expansion_WCS[Population Growth (% change since 2020)]))/(MAX(Expansion_WCS[Population Growth (% change since 2020)])-MIN(Expansion_WCS[Population Growth (% change since 2020)])) * 100</f>
        <v>100</v>
      </c>
      <c r="G3" s="24">
        <f>VLOOKUP(Expansion_Cities_Data[[#This Row],[City Name]],Income_Data_Lookup[#All], 2, FALSE)</f>
        <v>80471</v>
      </c>
      <c r="H3" s="37">
        <f>(Expansion_WCS[[#This Row],[Per Capita Personal Income (2023)]]-MIN(Expansion_WCS[Per Capita Personal Income (2023)]))/(MAX(Expansion_WCS[Per Capita Personal Income (2023)])-MIN(Expansion_WCS[Per Capita Personal Income (2023)])) * 100</f>
        <v>55.141342336130862</v>
      </c>
      <c r="I3" s="17">
        <f>VLOOKUP(Expansion_Cities_Data[[#This Row],[City Name]],Nielsen_TV_Market_Lookup[],2,FALSE)</f>
        <v>35</v>
      </c>
      <c r="J3" s="37">
        <f>(Expansion_WCS[[#This Row],[Nielsen TV Market Rank]]-MAX(Expansion_WCS[Nielsen TV Market Rank]))/(MIN(Expansion_WCS[Nielsen TV Market Rank])-MAX(Expansion_WCS[Nielsen TV Market Rank])) * 100</f>
        <v>62.903225806451616</v>
      </c>
      <c r="K3" s="17">
        <f>VLOOKUP(Expansion_Cities_Data[[#This Row],[City Name]], Google_Trend_Score[#All], 2, FALSE)</f>
        <v>48</v>
      </c>
      <c r="L3" s="37">
        <f>(Expansion_WCS[[#This Row],[NBA Google Analytic Trend Score (0-100)]]-MIN(Expansion_WCS[NBA Google Analytic Trend Score (0-100)]))/(MAX(Expansion_WCS[NBA Google Analytic Trend Score (0-100)])-MIN(Expansion_WCS[NBA Google Analytic Trend Score (0-100)])) * 100</f>
        <v>37.142857142857146</v>
      </c>
      <c r="M3" s="50">
        <f>VLOOKUP(Expansion_Cities_Data[[#This Row],[City Name]],Demographic_Data_Lookup12[#All], 2, FALSE)</f>
        <v>46.9</v>
      </c>
      <c r="N3" s="37" cm="1">
        <f t="array" ref="N3">(Expansion_WCS[[#This Row],[Demographic Data (15 - 44 Age Group as a % of Total Population)]]-MIN(Expansion_WCS[Demographic Data (15 - 44 Age Group as a % of Total Population)]))/MAX(Expansion_WCS[Demographic Data (15 - 44 Age Group as a % of Total Population)]-MIN(Expansion_WCS[Demographic Data (15 - 44 Age Group as a % of Total Population)])) * 100</f>
        <v>100</v>
      </c>
      <c r="O3" s="17" t="str">
        <f>IF(Expansion_Cities_Data[[#This Row],[Arena Capacity ]] &gt; 15000,"Yes","No")</f>
        <v>No</v>
      </c>
      <c r="P3" s="17">
        <f>IF(Expansion_WCS[[#This Row],[NBA Ready Arena?]] = "YES",100,0)</f>
        <v>0</v>
      </c>
      <c r="Q3" s="17">
        <f>COUNTIF(Fortune_500_Companies_Lookup[City],Expansion_Cities_Data[[#This Row],[City Name]])</f>
        <v>3</v>
      </c>
      <c r="R3" s="37">
        <f>Expansion_WCS[[#This Row],[Fortune 500 HQ''s]]/11 * 100</f>
        <v>27.27272727272727</v>
      </c>
      <c r="S3" s="55">
        <f>(Expansion_WCS[[#This Row],[Metro Population Weighted Score (20%)]]*0.2)+(Expansion_WCS[[#This Row],[Population Growth Weighted Score (15%)]]*0.15)+(Expansion_WCS[[#This Row],[Per Capita Income Weighted Score (15%)]]*0.15)+(Expansion_WCS[[#This Row],[TV Market Rank Weighted Score (10%)]]*0.1)+(Expansion_WCS[[#This Row],[Google Trend Weighted Score (10%)]]*0.1)+(Expansion_WCS[[#This Row],[Demographic Weighted Score (10%)]]*0.1)+(Expansion_WCS[[#This Row],[Arena Criteria (10%)]]*0.1)+(Expansion_WCS[[#This Row],[Fortune 500 HQ''s Score (10%)]]*0.1)</f>
        <v>55.859243192649664</v>
      </c>
    </row>
    <row r="4" spans="1:19">
      <c r="A4" s="46" t="s">
        <v>31</v>
      </c>
      <c r="B4" s="44" t="s">
        <v>32</v>
      </c>
      <c r="C4" s="24">
        <f>VLOOKUP(Expansion_Cities_Data[[#This Row],[City Name]],USA_Metro_Population_Lookup[],2,FALSE)</f>
        <v>2302815</v>
      </c>
      <c r="D4" s="37">
        <f>((Expansion_WCS[[#This Row],[Metro Population (2024)]]-MIN(Expansion_WCS[Metro Population (2024)]))/(MAX(Expansion_WCS[Metro Population (2024)])-MIN(Expansion_WCS[Metro Population (2024)])))*100</f>
        <v>41.399638223632238</v>
      </c>
      <c r="E4" s="50">
        <f>VLOOKUP(Expansion_Cities_Data[[#This Row],[City Name]],USA_Metro_Population_Lookup[],3,FALSE)</f>
        <v>2.36</v>
      </c>
      <c r="F4" s="53">
        <f>(Expansion_WCS[[#This Row],[Population Growth (% change since 2020)]]-MIN(Expansion_WCS[Population Growth (% change since 2020)]))/(MAX(Expansion_WCS[Population Growth (% change since 2020)])-MIN(Expansion_WCS[Population Growth (% change since 2020)])) * 100</f>
        <v>27.03125</v>
      </c>
      <c r="G4" s="24">
        <f>VLOOKUP(Expansion_Cities_Data[[#This Row],[City Name]],Income_Data_Lookup[#All], 2, FALSE)</f>
        <v>68560</v>
      </c>
      <c r="H4" s="37">
        <f>(Expansion_WCS[[#This Row],[Per Capita Personal Income (2023)]]-MIN(Expansion_WCS[Per Capita Personal Income (2023)]))/(MAX(Expansion_WCS[Per Capita Personal Income (2023)])-MIN(Expansion_WCS[Per Capita Personal Income (2023)])) * 100</f>
        <v>26.822947623689402</v>
      </c>
      <c r="I4" s="17">
        <f>VLOOKUP(Expansion_Cities_Data[[#This Row],[City Name]],Nielsen_TV_Market_Lookup[],2,FALSE)</f>
        <v>38</v>
      </c>
      <c r="J4" s="37">
        <f>(Expansion_WCS[[#This Row],[Nielsen TV Market Rank]]-MAX(Expansion_WCS[Nielsen TV Market Rank]))/(MIN(Expansion_WCS[Nielsen TV Market Rank])-MAX(Expansion_WCS[Nielsen TV Market Rank])) * 100</f>
        <v>58.064516129032263</v>
      </c>
      <c r="K4" s="17">
        <f>VLOOKUP(Expansion_Cities_Data[[#This Row],[City Name]], Google_Trend_Score[#All], 2, FALSE)</f>
        <v>43</v>
      </c>
      <c r="L4" s="37">
        <f>(Expansion_WCS[[#This Row],[NBA Google Analytic Trend Score (0-100)]]-MIN(Expansion_WCS[NBA Google Analytic Trend Score (0-100)]))/(MAX(Expansion_WCS[NBA Google Analytic Trend Score (0-100)])-MIN(Expansion_WCS[NBA Google Analytic Trend Score (0-100)])) * 100</f>
        <v>22.857142857142858</v>
      </c>
      <c r="M4" s="50">
        <f>VLOOKUP(Expansion_Cities_Data[[#This Row],[City Name]],Demographic_Data_Lookup12[#All], 2, FALSE)</f>
        <v>39.5</v>
      </c>
      <c r="N4" s="37" cm="1">
        <f t="array" ref="N4">(Expansion_WCS[[#This Row],[Demographic Data (15 - 44 Age Group as a % of Total Population)]]-MIN(Expansion_WCS[Demographic Data (15 - 44 Age Group as a % of Total Population)]))/MAX(Expansion_WCS[Demographic Data (15 - 44 Age Group as a % of Total Population)]-MIN(Expansion_WCS[Demographic Data (15 - 44 Age Group as a % of Total Population)])) * 100</f>
        <v>24.489795918367342</v>
      </c>
      <c r="O4" s="17" t="str">
        <f>IF(Expansion_Cities_Data[[#This Row],[Arena Capacity ]] &gt; 15000,"Yes","No")</f>
        <v>Yes</v>
      </c>
      <c r="P4" s="17">
        <f>IF(Expansion_WCS[[#This Row],[NBA Ready Arena?]] = "YES",100,0)</f>
        <v>100</v>
      </c>
      <c r="Q4" s="17">
        <f>COUNTIF(Fortune_500_Companies_Lookup[City],Expansion_Cities_Data[[#This Row],[City Name]])</f>
        <v>8</v>
      </c>
      <c r="R4" s="37">
        <f>Expansion_WCS[[#This Row],[Fortune 500 HQ''s]]/11 * 100</f>
        <v>72.727272727272734</v>
      </c>
      <c r="S4" s="55">
        <f>(Expansion_WCS[[#This Row],[Metro Population Weighted Score (20%)]]*0.2)+(Expansion_WCS[[#This Row],[Population Growth Weighted Score (15%)]]*0.15)+(Expansion_WCS[[#This Row],[Per Capita Income Weighted Score (15%)]]*0.15)+(Expansion_WCS[[#This Row],[TV Market Rank Weighted Score (10%)]]*0.1)+(Expansion_WCS[[#This Row],[Google Trend Weighted Score (10%)]]*0.1)+(Expansion_WCS[[#This Row],[Demographic Weighted Score (10%)]]*0.1)+(Expansion_WCS[[#This Row],[Arena Criteria (10%)]]*0.1)+(Expansion_WCS[[#This Row],[Fortune 500 HQ''s Score (10%)]]*0.1)</f>
        <v>44.171930051461381</v>
      </c>
    </row>
    <row r="5" spans="1:19">
      <c r="A5" s="23" t="s">
        <v>35</v>
      </c>
      <c r="B5" s="17" t="s">
        <v>36</v>
      </c>
      <c r="C5" s="24">
        <f>VLOOKUP(Expansion_Cities_Data[[#This Row],[City Name]],USA_Metro_Population_Lookup[],2,FALSE)</f>
        <v>2225377</v>
      </c>
      <c r="D5" s="37">
        <f>((Expansion_WCS[[#This Row],[Metro Population (2024)]]-MIN(Expansion_WCS[Metro Population (2024)]))/(MAX(Expansion_WCS[Metro Population (2024)])-MIN(Expansion_WCS[Metro Population (2024)])))*100</f>
        <v>38.93697662319159</v>
      </c>
      <c r="E5" s="50">
        <f>VLOOKUP(Expansion_Cities_Data[[#This Row],[City Name]],USA_Metro_Population_Lookup[],3,FALSE)</f>
        <v>4.04</v>
      </c>
      <c r="F5" s="53">
        <f>(Expansion_WCS[[#This Row],[Population Growth (% change since 2020)]]-MIN(Expansion_WCS[Population Growth (% change since 2020)]))/(MAX(Expansion_WCS[Population Growth (% change since 2020)])-MIN(Expansion_WCS[Population Growth (% change since 2020)])) * 100</f>
        <v>40.156250000000007</v>
      </c>
      <c r="G5" s="24">
        <f>VLOOKUP(Expansion_Cities_Data[[#This Row],[City Name]],Income_Data_Lookup[#All], 2, FALSE)</f>
        <v>65277</v>
      </c>
      <c r="H5" s="37">
        <f>(Expansion_WCS[[#This Row],[Per Capita Personal Income (2023)]]-MIN(Expansion_WCS[Per Capita Personal Income (2023)]))/(MAX(Expansion_WCS[Per Capita Personal Income (2023)])-MIN(Expansion_WCS[Per Capita Personal Income (2023)])) * 100</f>
        <v>19.017617270155252</v>
      </c>
      <c r="I5" s="17">
        <f>VLOOKUP(Expansion_Cities_Data[[#This Row],[City Name]],Nielsen_TV_Market_Lookup[],2,FALSE)</f>
        <v>36</v>
      </c>
      <c r="J5" s="37">
        <f>(Expansion_WCS[[#This Row],[Nielsen TV Market Rank]]-MAX(Expansion_WCS[Nielsen TV Market Rank]))/(MIN(Expansion_WCS[Nielsen TV Market Rank])-MAX(Expansion_WCS[Nielsen TV Market Rank])) * 100</f>
        <v>61.29032258064516</v>
      </c>
      <c r="K5" s="17">
        <f>VLOOKUP(Expansion_Cities_Data[[#This Row],[City Name]], Google_Trend_Score[#All], 2, FALSE)</f>
        <v>50</v>
      </c>
      <c r="L5" s="37">
        <f>(Expansion_WCS[[#This Row],[NBA Google Analytic Trend Score (0-100)]]-MIN(Expansion_WCS[NBA Google Analytic Trend Score (0-100)]))/(MAX(Expansion_WCS[NBA Google Analytic Trend Score (0-100)])-MIN(Expansion_WCS[NBA Google Analytic Trend Score (0-100)])) * 100</f>
        <v>42.857142857142854</v>
      </c>
      <c r="M5" s="50">
        <f>VLOOKUP(Expansion_Cities_Data[[#This Row],[City Name]],Demographic_Data_Lookup12[#All], 2, FALSE)</f>
        <v>42.2</v>
      </c>
      <c r="N5" s="37" cm="1">
        <f t="array" ref="N5">(Expansion_WCS[[#This Row],[Demographic Data (15 - 44 Age Group as a % of Total Population)]]-MIN(Expansion_WCS[Demographic Data (15 - 44 Age Group as a % of Total Population)]))/MAX(Expansion_WCS[Demographic Data (15 - 44 Age Group as a % of Total Population)]-MIN(Expansion_WCS[Demographic Data (15 - 44 Age Group as a % of Total Population)])) * 100</f>
        <v>52.040816326530638</v>
      </c>
      <c r="O5" s="17" t="str">
        <f>IF(Expansion_Cities_Data[[#This Row],[Arena Capacity ]] &gt; 15000,"Yes","No")</f>
        <v>Yes</v>
      </c>
      <c r="P5" s="17">
        <f>IF(Expansion_WCS[[#This Row],[NBA Ready Arena?]] = "YES",100,0)</f>
        <v>100</v>
      </c>
      <c r="Q5" s="17">
        <f>COUNTIF(Fortune_500_Companies_Lookup[City],Expansion_Cities_Data[[#This Row],[City Name]])</f>
        <v>5</v>
      </c>
      <c r="R5" s="37">
        <f>Expansion_WCS[[#This Row],[Fortune 500 HQ''s]]/11 * 100</f>
        <v>45.454545454545453</v>
      </c>
      <c r="S5" s="55">
        <f>(Expansion_WCS[[#This Row],[Metro Population Weighted Score (20%)]]*0.2)+(Expansion_WCS[[#This Row],[Population Growth Weighted Score (15%)]]*0.15)+(Expansion_WCS[[#This Row],[Per Capita Income Weighted Score (15%)]]*0.15)+(Expansion_WCS[[#This Row],[TV Market Rank Weighted Score (10%)]]*0.1)+(Expansion_WCS[[#This Row],[Google Trend Weighted Score (10%)]]*0.1)+(Expansion_WCS[[#This Row],[Demographic Weighted Score (10%)]]*0.1)+(Expansion_WCS[[#This Row],[Arena Criteria (10%)]]*0.1)+(Expansion_WCS[[#This Row],[Fortune 500 HQ''s Score (10%)]]*0.1)</f>
        <v>46.827758137048022</v>
      </c>
    </row>
    <row r="6" spans="1:19">
      <c r="A6" s="46" t="s">
        <v>38</v>
      </c>
      <c r="B6" s="44" t="s">
        <v>39</v>
      </c>
      <c r="C6" s="26">
        <f>VLOOKUP(Expansion_Cities_Data[[#This Row],[City Name]],USA_Metro_Population_Lookup[],2,FALSE)</f>
        <v>1760548</v>
      </c>
      <c r="D6" s="37">
        <f>((Expansion_WCS[[#This Row],[Metro Population (2024)]]-MIN(Expansion_WCS[Metro Population (2024)]))/(MAX(Expansion_WCS[Metro Population (2024)])-MIN(Expansion_WCS[Metro Population (2024)])))*100</f>
        <v>24.154614874809351</v>
      </c>
      <c r="E6" s="51">
        <f>VLOOKUP(Expansion_Cities_Data[[#This Row],[City Name]],USA_Metro_Population_Lookup[],3,FALSE)</f>
        <v>9.6300000000000008</v>
      </c>
      <c r="F6" s="53">
        <f>(Expansion_WCS[[#This Row],[Population Growth (% change since 2020)]]-MIN(Expansion_WCS[Population Growth (% change since 2020)]))/(MAX(Expansion_WCS[Population Growth (% change since 2020)])-MIN(Expansion_WCS[Population Growth (% change since 2020)])) * 100</f>
        <v>83.828125000000014</v>
      </c>
      <c r="G6" s="24">
        <f>VLOOKUP(Expansion_Cities_Data[[#This Row],[City Name]],Income_Data_Lookup[#All], 2, FALSE)</f>
        <v>65324</v>
      </c>
      <c r="H6" s="37">
        <f>(Expansion_WCS[[#This Row],[Per Capita Personal Income (2023)]]-MIN(Expansion_WCS[Per Capita Personal Income (2023)]))/(MAX(Expansion_WCS[Per Capita Personal Income (2023)])-MIN(Expansion_WCS[Per Capita Personal Income (2023)])) * 100</f>
        <v>19.129359739426071</v>
      </c>
      <c r="I6" s="17">
        <f>VLOOKUP(Expansion_Cities_Data[[#This Row],[City Name]],Nielsen_TV_Market_Lookup[],2,FALSE)</f>
        <v>42</v>
      </c>
      <c r="J6" s="37">
        <f>(Expansion_WCS[[#This Row],[Nielsen TV Market Rank]]-MAX(Expansion_WCS[Nielsen TV Market Rank]))/(MIN(Expansion_WCS[Nielsen TV Market Rank])-MAX(Expansion_WCS[Nielsen TV Market Rank])) * 100</f>
        <v>51.612903225806448</v>
      </c>
      <c r="K6" s="17">
        <f>VLOOKUP(Expansion_Cities_Data[[#This Row],[City Name]], Google_Trend_Score[#All], 2, FALSE)</f>
        <v>43</v>
      </c>
      <c r="L6" s="37">
        <f>(Expansion_WCS[[#This Row],[NBA Google Analytic Trend Score (0-100)]]-MIN(Expansion_WCS[NBA Google Analytic Trend Score (0-100)]))/(MAX(Expansion_WCS[NBA Google Analytic Trend Score (0-100)])-MIN(Expansion_WCS[NBA Google Analytic Trend Score (0-100)])) * 100</f>
        <v>22.857142857142858</v>
      </c>
      <c r="M6" s="50">
        <f>VLOOKUP(Expansion_Cities_Data[[#This Row],[City Name]],Demographic_Data_Lookup12[#All], 2, FALSE)</f>
        <v>39.299999999999997</v>
      </c>
      <c r="N6" s="37" cm="1">
        <f t="array" ref="N6">(Expansion_WCS[[#This Row],[Demographic Data (15 - 44 Age Group as a % of Total Population)]]-MIN(Expansion_WCS[Demographic Data (15 - 44 Age Group as a % of Total Population)]))/MAX(Expansion_WCS[Demographic Data (15 - 44 Age Group as a % of Total Population)]-MIN(Expansion_WCS[Demographic Data (15 - 44 Age Group as a % of Total Population)])) * 100</f>
        <v>22.4489795918367</v>
      </c>
      <c r="O6" s="17" t="str">
        <f>IF(Expansion_Cities_Data[[#This Row],[Arena Capacity ]] &gt; 15000,"Yes","No")</f>
        <v>No</v>
      </c>
      <c r="P6" s="17">
        <f>IF(Expansion_WCS[[#This Row],[NBA Ready Arena?]] = "YES",100,0)</f>
        <v>0</v>
      </c>
      <c r="Q6" s="17">
        <f>COUNTIF(Fortune_500_Companies_Lookup[City],Expansion_Cities_Data[[#This Row],[City Name]])</f>
        <v>4</v>
      </c>
      <c r="R6" s="37">
        <f>Expansion_WCS[[#This Row],[Fortune 500 HQ''s]]/11 * 100</f>
        <v>36.363636363636367</v>
      </c>
      <c r="S6" s="55">
        <f>(Expansion_WCS[[#This Row],[Metro Population Weighted Score (20%)]]*0.2)+(Expansion_WCS[[#This Row],[Population Growth Weighted Score (15%)]]*0.15)+(Expansion_WCS[[#This Row],[Per Capita Income Weighted Score (15%)]]*0.15)+(Expansion_WCS[[#This Row],[TV Market Rank Weighted Score (10%)]]*0.1)+(Expansion_WCS[[#This Row],[Google Trend Weighted Score (10%)]]*0.1)+(Expansion_WCS[[#This Row],[Demographic Weighted Score (10%)]]*0.1)+(Expansion_WCS[[#This Row],[Arena Criteria (10%)]]*0.1)+(Expansion_WCS[[#This Row],[Fortune 500 HQ''s Score (10%)]]*0.1)</f>
        <v>33.602811889718019</v>
      </c>
    </row>
    <row r="7" spans="1:19">
      <c r="A7" s="23" t="s">
        <v>41</v>
      </c>
      <c r="B7" s="17" t="s">
        <v>42</v>
      </c>
      <c r="C7" s="26">
        <f>VLOOKUP(Expansion_Cities_Data[[#This Row],[City Name]],USA_Metro_Population_Lookup[],2,FALSE)</f>
        <v>2253579</v>
      </c>
      <c r="D7" s="37">
        <f>((Expansion_WCS[[#This Row],[Metro Population (2024)]]-MIN(Expansion_WCS[Metro Population (2024)]))/(MAX(Expansion_WCS[Metro Population (2024)])-MIN(Expansion_WCS[Metro Population (2024)])))*100</f>
        <v>39.833848733210282</v>
      </c>
      <c r="E7" s="51">
        <f>VLOOKUP(Expansion_Cities_Data[[#This Row],[City Name]],USA_Metro_Population_Lookup[],3,FALSE)</f>
        <v>2.81</v>
      </c>
      <c r="F7" s="53">
        <f>(Expansion_WCS[[#This Row],[Population Growth (% change since 2020)]]-MIN(Expansion_WCS[Population Growth (% change since 2020)]))/(MAX(Expansion_WCS[Population Growth (% change since 2020)])-MIN(Expansion_WCS[Population Growth (% change since 2020)])) * 100</f>
        <v>30.546875</v>
      </c>
      <c r="G7" s="24">
        <f>VLOOKUP(Expansion_Cities_Data[[#This Row],[City Name]],Income_Data_Lookup[#All], 2, FALSE)</f>
        <v>69865</v>
      </c>
      <c r="H7" s="37">
        <f>(Expansion_WCS[[#This Row],[Per Capita Personal Income (2023)]]-MIN(Expansion_WCS[Per Capita Personal Income (2023)]))/(MAX(Expansion_WCS[Per Capita Personal Income (2023)])-MIN(Expansion_WCS[Per Capita Personal Income (2023)])) * 100</f>
        <v>29.925584270464327</v>
      </c>
      <c r="I7" s="17">
        <f>VLOOKUP(Expansion_Cities_Data[[#This Row],[City Name]],Nielsen_TV_Market_Lookup[],2,FALSE)</f>
        <v>34</v>
      </c>
      <c r="J7" s="37">
        <f>(Expansion_WCS[[#This Row],[Nielsen TV Market Rank]]-MAX(Expansion_WCS[Nielsen TV Market Rank]))/(MIN(Expansion_WCS[Nielsen TV Market Rank])-MAX(Expansion_WCS[Nielsen TV Market Rank])) * 100</f>
        <v>64.516129032258064</v>
      </c>
      <c r="K7" s="17">
        <f>VLOOKUP(Expansion_Cities_Data[[#This Row],[City Name]], Google_Trend_Score[#All], 2, FALSE)</f>
        <v>38</v>
      </c>
      <c r="L7" s="37">
        <f>(Expansion_WCS[[#This Row],[NBA Google Analytic Trend Score (0-100)]]-MIN(Expansion_WCS[NBA Google Analytic Trend Score (0-100)]))/(MAX(Expansion_WCS[NBA Google Analytic Trend Score (0-100)])-MIN(Expansion_WCS[NBA Google Analytic Trend Score (0-100)])) * 100</f>
        <v>8.5714285714285712</v>
      </c>
      <c r="M7" s="50">
        <f>VLOOKUP(Expansion_Cities_Data[[#This Row],[City Name]],Demographic_Data_Lookup12[#All], 2, FALSE)</f>
        <v>40.299999999999997</v>
      </c>
      <c r="N7" s="37" cm="1">
        <f t="array" ref="N7">(Expansion_WCS[[#This Row],[Demographic Data (15 - 44 Age Group as a % of Total Population)]]-MIN(Expansion_WCS[Demographic Data (15 - 44 Age Group as a % of Total Population)]))/MAX(Expansion_WCS[Demographic Data (15 - 44 Age Group as a % of Total Population)]-MIN(Expansion_WCS[Demographic Data (15 - 44 Age Group as a % of Total Population)])) * 100</f>
        <v>32.653061224489761</v>
      </c>
      <c r="O7" s="17" t="str">
        <f>IF(Expansion_Cities_Data[[#This Row],[Arena Capacity ]] &gt; 15000,"Yes","No")</f>
        <v>Yes</v>
      </c>
      <c r="P7" s="17">
        <f>IF(Expansion_WCS[[#This Row],[NBA Ready Arena?]] = "YES",100,0)</f>
        <v>100</v>
      </c>
      <c r="Q7" s="17">
        <f>COUNTIF(Fortune_500_Companies_Lookup[City],Expansion_Cities_Data[[#This Row],[City Name]])</f>
        <v>1</v>
      </c>
      <c r="R7" s="37">
        <f>Expansion_WCS[[#This Row],[Fortune 500 HQ''s]]/11 * 100</f>
        <v>9.0909090909090917</v>
      </c>
      <c r="S7" s="55">
        <f>(Expansion_WCS[[#This Row],[Metro Population Weighted Score (20%)]]*0.2)+(Expansion_WCS[[#This Row],[Population Growth Weighted Score (15%)]]*0.15)+(Expansion_WCS[[#This Row],[Per Capita Income Weighted Score (15%)]]*0.15)+(Expansion_WCS[[#This Row],[TV Market Rank Weighted Score (10%)]]*0.1)+(Expansion_WCS[[#This Row],[Google Trend Weighted Score (10%)]]*0.1)+(Expansion_WCS[[#This Row],[Demographic Weighted Score (10%)]]*0.1)+(Expansion_WCS[[#This Row],[Arena Criteria (10%)]]*0.1)+(Expansion_WCS[[#This Row],[Fortune 500 HQ''s Score (10%)]]*0.1)</f>
        <v>38.520791429120251</v>
      </c>
    </row>
    <row r="8" spans="1:19">
      <c r="A8" s="46" t="s">
        <v>45</v>
      </c>
      <c r="B8" s="44" t="s">
        <v>46</v>
      </c>
      <c r="C8" s="26">
        <f>VLOOKUP(Expansion_Cities_Data[[#This Row],[City Name]],USA_Metro_Population_Lookup[],2,FALSE)</f>
        <v>2398871</v>
      </c>
      <c r="D8" s="37">
        <f>((Expansion_WCS[[#This Row],[Metro Population (2024)]]-MIN(Expansion_WCS[Metro Population (2024)]))/(MAX(Expansion_WCS[Metro Population (2024)])-MIN(Expansion_WCS[Metro Population (2024)])))*100</f>
        <v>44.454384248735245</v>
      </c>
      <c r="E8" s="51">
        <f>VLOOKUP(Expansion_Cities_Data[[#This Row],[City Name]],USA_Metro_Population_Lookup[],3,FALSE)</f>
        <v>5.89</v>
      </c>
      <c r="F8" s="53">
        <f>(Expansion_WCS[[#This Row],[Population Growth (% change since 2020)]]-MIN(Expansion_WCS[Population Growth (% change since 2020)]))/(MAX(Expansion_WCS[Population Growth (% change since 2020)])-MIN(Expansion_WCS[Population Growth (% change since 2020)])) * 100</f>
        <v>54.609375000000007</v>
      </c>
      <c r="G8" s="24">
        <f>VLOOKUP(Expansion_Cities_Data[[#This Row],[City Name]],Income_Data_Lookup[#All], 2, FALSE)</f>
        <v>63767</v>
      </c>
      <c r="H8" s="37">
        <f>(Expansion_WCS[[#This Row],[Per Capita Personal Income (2023)]]-MIN(Expansion_WCS[Per Capita Personal Income (2023)]))/(MAX(Expansion_WCS[Per Capita Personal Income (2023)])-MIN(Expansion_WCS[Per Capita Personal Income (2023)])) * 100</f>
        <v>15.427593257411854</v>
      </c>
      <c r="I8" s="17">
        <f>VLOOKUP(Expansion_Cities_Data[[#This Row],[City Name]],Nielsen_TV_Market_Lookup[],2,FALSE)</f>
        <v>41</v>
      </c>
      <c r="J8" s="37">
        <f>(Expansion_WCS[[#This Row],[Nielsen TV Market Rank]]-MAX(Expansion_WCS[Nielsen TV Market Rank]))/(MIN(Expansion_WCS[Nielsen TV Market Rank])-MAX(Expansion_WCS[Nielsen TV Market Rank])) * 100</f>
        <v>53.225806451612897</v>
      </c>
      <c r="K8" s="17">
        <f>VLOOKUP(Expansion_Cities_Data[[#This Row],[City Name]], Google_Trend_Score[#All], 2, FALSE)</f>
        <v>70</v>
      </c>
      <c r="L8" s="37">
        <f>(Expansion_WCS[[#This Row],[NBA Google Analytic Trend Score (0-100)]]-MIN(Expansion_WCS[NBA Google Analytic Trend Score (0-100)]))/(MAX(Expansion_WCS[NBA Google Analytic Trend Score (0-100)])-MIN(Expansion_WCS[NBA Google Analytic Trend Score (0-100)])) * 100</f>
        <v>100</v>
      </c>
      <c r="M8" s="50">
        <f>VLOOKUP(Expansion_Cities_Data[[#This Row],[City Name]],Demographic_Data_Lookup12[#All], 2, FALSE)</f>
        <v>40.9</v>
      </c>
      <c r="N8" s="37" cm="1">
        <f t="array" ref="N8">(Expansion_WCS[[#This Row],[Demographic Data (15 - 44 Age Group as a % of Total Population)]]-MIN(Expansion_WCS[Demographic Data (15 - 44 Age Group as a % of Total Population)]))/MAX(Expansion_WCS[Demographic Data (15 - 44 Age Group as a % of Total Population)]-MIN(Expansion_WCS[Demographic Data (15 - 44 Age Group as a % of Total Population)])) * 100</f>
        <v>38.775510204081613</v>
      </c>
      <c r="O8" s="17" t="str">
        <f>IF(Expansion_Cities_Data[[#This Row],[Arena Capacity ]] &gt; 15000,"Yes","No")</f>
        <v>Yes</v>
      </c>
      <c r="P8" s="17">
        <f>IF(Expansion_WCS[[#This Row],[NBA Ready Arena?]] = "YES",100,0)</f>
        <v>100</v>
      </c>
      <c r="Q8" s="17">
        <f>COUNTIF(Fortune_500_Companies_Lookup[City],Expansion_Cities_Data[[#This Row],[City Name]])</f>
        <v>2</v>
      </c>
      <c r="R8" s="37">
        <f>Expansion_WCS[[#This Row],[Fortune 500 HQ''s]]/11 * 100</f>
        <v>18.181818181818183</v>
      </c>
      <c r="S8" s="55">
        <f>(Expansion_WCS[[#This Row],[Metro Population Weighted Score (20%)]]*0.2)+(Expansion_WCS[[#This Row],[Population Growth Weighted Score (15%)]]*0.15)+(Expansion_WCS[[#This Row],[Per Capita Income Weighted Score (15%)]]*0.15)+(Expansion_WCS[[#This Row],[TV Market Rank Weighted Score (10%)]]*0.1)+(Expansion_WCS[[#This Row],[Google Trend Weighted Score (10%)]]*0.1)+(Expansion_WCS[[#This Row],[Demographic Weighted Score (10%)]]*0.1)+(Expansion_WCS[[#This Row],[Arena Criteria (10%)]]*0.1)+(Expansion_WCS[[#This Row],[Fortune 500 HQ''s Score (10%)]]*0.1)</f>
        <v>50.414735572110104</v>
      </c>
    </row>
    <row r="9" spans="1:19">
      <c r="A9" s="23" t="s">
        <v>48</v>
      </c>
      <c r="B9" s="17" t="s">
        <v>49</v>
      </c>
      <c r="C9" s="26">
        <f>VLOOKUP(Expansion_Cities_Data[[#This Row],[City Name]],USA_Metro_Population_Lookup[],2,FALSE)</f>
        <v>1394234</v>
      </c>
      <c r="D9" s="37">
        <f>((Expansion_WCS[[#This Row],[Metro Population (2024)]]-MIN(Expansion_WCS[Metro Population (2024)]))/(MAX(Expansion_WCS[Metro Population (2024)])-MIN(Expansion_WCS[Metro Population (2024)])))*100</f>
        <v>12.505199581234949</v>
      </c>
      <c r="E9" s="51">
        <f>VLOOKUP(Expansion_Cities_Data[[#This Row],[City Name]],USA_Metro_Population_Lookup[],3,FALSE)</f>
        <v>2.35</v>
      </c>
      <c r="F9" s="53">
        <f>(Expansion_WCS[[#This Row],[Population Growth (% change since 2020)]]-MIN(Expansion_WCS[Population Growth (% change since 2020)]))/(MAX(Expansion_WCS[Population Growth (% change since 2020)])-MIN(Expansion_WCS[Population Growth (% change since 2020)])) * 100</f>
        <v>26.953125000000007</v>
      </c>
      <c r="G9" s="24">
        <f>VLOOKUP(Expansion_Cities_Data[[#This Row],[City Name]],Income_Data_Lookup[#All], 2, FALSE)</f>
        <v>65205</v>
      </c>
      <c r="H9" s="37">
        <f>(Expansion_WCS[[#This Row],[Per Capita Personal Income (2023)]]-MIN(Expansion_WCS[Per Capita Personal Income (2023)]))/(MAX(Expansion_WCS[Per Capita Personal Income (2023)])-MIN(Expansion_WCS[Per Capita Personal Income (2023)])) * 100</f>
        <v>18.846437317229739</v>
      </c>
      <c r="I9" s="17">
        <f>VLOOKUP(Expansion_Cities_Data[[#This Row],[City Name]],Nielsen_TV_Market_Lookup[],2,FALSE)</f>
        <v>50</v>
      </c>
      <c r="J9" s="37">
        <f>(Expansion_WCS[[#This Row],[Nielsen TV Market Rank]]-MAX(Expansion_WCS[Nielsen TV Market Rank]))/(MIN(Expansion_WCS[Nielsen TV Market Rank])-MAX(Expansion_WCS[Nielsen TV Market Rank])) * 100</f>
        <v>38.70967741935484</v>
      </c>
      <c r="K9" s="17">
        <f>VLOOKUP(Expansion_Cities_Data[[#This Row],[City Name]], Google_Trend_Score[#All], 2, FALSE)</f>
        <v>45</v>
      </c>
      <c r="L9" s="37">
        <f>(Expansion_WCS[[#This Row],[NBA Google Analytic Trend Score (0-100)]]-MIN(Expansion_WCS[NBA Google Analytic Trend Score (0-100)]))/(MAX(Expansion_WCS[NBA Google Analytic Trend Score (0-100)])-MIN(Expansion_WCS[NBA Google Analytic Trend Score (0-100)])) * 100</f>
        <v>28.571428571428569</v>
      </c>
      <c r="M9" s="50">
        <f>VLOOKUP(Expansion_Cities_Data[[#This Row],[City Name]],Demographic_Data_Lookup12[#All], 2, FALSE)</f>
        <v>38.9</v>
      </c>
      <c r="N9" s="37" cm="1">
        <f t="array" ref="N9">(Expansion_WCS[[#This Row],[Demographic Data (15 - 44 Age Group as a % of Total Population)]]-MIN(Expansion_WCS[Demographic Data (15 - 44 Age Group as a % of Total Population)]))/MAX(Expansion_WCS[Demographic Data (15 - 44 Age Group as a % of Total Population)]-MIN(Expansion_WCS[Demographic Data (15 - 44 Age Group as a % of Total Population)])) * 100</f>
        <v>18.367346938775487</v>
      </c>
      <c r="O9" s="17" t="str">
        <f>IF(Expansion_Cities_Data[[#This Row],[Arena Capacity ]] &gt; 15000,"Yes","No")</f>
        <v>Yes</v>
      </c>
      <c r="P9" s="17">
        <f>IF(Expansion_WCS[[#This Row],[NBA Ready Arena?]] = "YES",100,0)</f>
        <v>100</v>
      </c>
      <c r="Q9" s="17">
        <f>COUNTIF(Fortune_500_Companies_Lookup[City],Expansion_Cities_Data[[#This Row],[City Name]])</f>
        <v>3</v>
      </c>
      <c r="R9" s="37">
        <f>Expansion_WCS[[#This Row],[Fortune 500 HQ''s]]/11 * 100</f>
        <v>27.27272727272727</v>
      </c>
      <c r="S9" s="55">
        <f>(Expansion_WCS[[#This Row],[Metro Population Weighted Score (20%)]]*0.2)+(Expansion_WCS[[#This Row],[Population Growth Weighted Score (15%)]]*0.15)+(Expansion_WCS[[#This Row],[Per Capita Income Weighted Score (15%)]]*0.15)+(Expansion_WCS[[#This Row],[TV Market Rank Weighted Score (10%)]]*0.1)+(Expansion_WCS[[#This Row],[Google Trend Weighted Score (10%)]]*0.1)+(Expansion_WCS[[#This Row],[Demographic Weighted Score (10%)]]*0.1)+(Expansion_WCS[[#This Row],[Arena Criteria (10%)]]*0.1)+(Expansion_WCS[[#This Row],[Fortune 500 HQ''s Score (10%)]]*0.1)</f>
        <v>30.663092284060067</v>
      </c>
    </row>
    <row r="10" spans="1:19">
      <c r="A10" s="46" t="s">
        <v>51</v>
      </c>
      <c r="B10" s="44" t="s">
        <v>52</v>
      </c>
      <c r="C10" s="26">
        <f>VLOOKUP(Expansion_Cities_Data[[#This Row],[City Name]],USA_Metro_Population_Lookup[],2,FALSE)</f>
        <v>2150553</v>
      </c>
      <c r="D10" s="37">
        <f>((Expansion_WCS[[#This Row],[Metro Population (2024)]]-MIN(Expansion_WCS[Metro Population (2024)]))/(MAX(Expansion_WCS[Metro Population (2024)])-MIN(Expansion_WCS[Metro Population (2024)])))*100</f>
        <v>36.557444719069963</v>
      </c>
      <c r="E10" s="51">
        <f>VLOOKUP(Expansion_Cities_Data[[#This Row],[City Name]],USA_Metro_Population_Lookup[],3,FALSE)</f>
        <v>6.76</v>
      </c>
      <c r="F10" s="53">
        <f>(Expansion_WCS[[#This Row],[Population Growth (% change since 2020)]]-MIN(Expansion_WCS[Population Growth (% change since 2020)]))/(MAX(Expansion_WCS[Population Growth (% change since 2020)])-MIN(Expansion_WCS[Population Growth (% change since 2020)])) * 100</f>
        <v>61.406249999999993</v>
      </c>
      <c r="G10" s="24">
        <f>VLOOKUP(Expansion_Cities_Data[[#This Row],[City Name]],Income_Data_Lookup[#All], 2, FALSE)</f>
        <v>79453</v>
      </c>
      <c r="H10" s="37">
        <f>(Expansion_WCS[[#This Row],[Per Capita Personal Income (2023)]]-MIN(Expansion_WCS[Per Capita Personal Income (2023)]))/(MAX(Expansion_WCS[Per Capita Personal Income (2023)])-MIN(Expansion_WCS[Per Capita Personal Income (2023)])) * 100</f>
        <v>52.7210480017118</v>
      </c>
      <c r="I10" s="17">
        <f>VLOOKUP(Expansion_Cities_Data[[#This Row],[City Name]],Nielsen_TV_Market_Lookup[],2,FALSE)</f>
        <v>27</v>
      </c>
      <c r="J10" s="37">
        <f>(Expansion_WCS[[#This Row],[Nielsen TV Market Rank]]-MAX(Expansion_WCS[Nielsen TV Market Rank]))/(MIN(Expansion_WCS[Nielsen TV Market Rank])-MAX(Expansion_WCS[Nielsen TV Market Rank])) * 100</f>
        <v>75.806451612903231</v>
      </c>
      <c r="K10" s="17">
        <f>VLOOKUP(Expansion_Cities_Data[[#This Row],[City Name]], Google_Trend_Score[#All], 2, FALSE)</f>
        <v>37</v>
      </c>
      <c r="L10" s="37">
        <f>(Expansion_WCS[[#This Row],[NBA Google Analytic Trend Score (0-100)]]-MIN(Expansion_WCS[NBA Google Analytic Trend Score (0-100)]))/(MAX(Expansion_WCS[NBA Google Analytic Trend Score (0-100)])-MIN(Expansion_WCS[NBA Google Analytic Trend Score (0-100)])) * 100</f>
        <v>5.7142857142857144</v>
      </c>
      <c r="M10" s="50">
        <f>VLOOKUP(Expansion_Cities_Data[[#This Row],[City Name]],Demographic_Data_Lookup12[#All], 2, FALSE)</f>
        <v>42.8</v>
      </c>
      <c r="N10" s="37" cm="1">
        <f t="array" ref="N10">(Expansion_WCS[[#This Row],[Demographic Data (15 - 44 Age Group as a % of Total Population)]]-MIN(Expansion_WCS[Demographic Data (15 - 44 Age Group as a % of Total Population)]))/MAX(Expansion_WCS[Demographic Data (15 - 44 Age Group as a % of Total Population)]-MIN(Expansion_WCS[Demographic Data (15 - 44 Age Group as a % of Total Population)])) * 100</f>
        <v>58.163265306122426</v>
      </c>
      <c r="O10" s="17" t="str">
        <f>IF(Expansion_Cities_Data[[#This Row],[Arena Capacity ]] &gt; 15000,"Yes","No")</f>
        <v>Yes</v>
      </c>
      <c r="P10" s="17">
        <f>IF(Expansion_WCS[[#This Row],[NBA Ready Arena?]] = "YES",100,0)</f>
        <v>100</v>
      </c>
      <c r="Q10" s="17">
        <f>COUNTIF(Fortune_500_Companies_Lookup[City],Expansion_Cities_Data[[#This Row],[City Name]])</f>
        <v>6</v>
      </c>
      <c r="R10" s="37">
        <f>Expansion_WCS[[#This Row],[Fortune 500 HQ''s]]/11 * 100</f>
        <v>54.54545454545454</v>
      </c>
      <c r="S10" s="55">
        <f>(Expansion_WCS[[#This Row],[Metro Population Weighted Score (20%)]]*0.2)+(Expansion_WCS[[#This Row],[Population Growth Weighted Score (15%)]]*0.15)+(Expansion_WCS[[#This Row],[Per Capita Income Weighted Score (15%)]]*0.15)+(Expansion_WCS[[#This Row],[TV Market Rank Weighted Score (10%)]]*0.1)+(Expansion_WCS[[#This Row],[Google Trend Weighted Score (10%)]]*0.1)+(Expansion_WCS[[#This Row],[Demographic Weighted Score (10%)]]*0.1)+(Expansion_WCS[[#This Row],[Arena Criteria (10%)]]*0.1)+(Expansion_WCS[[#This Row],[Fortune 500 HQ''s Score (10%)]]*0.1)</f>
        <v>53.853529361947352</v>
      </c>
    </row>
    <row r="11" spans="1:19">
      <c r="A11" s="23" t="s">
        <v>54</v>
      </c>
      <c r="B11" s="17" t="s">
        <v>55</v>
      </c>
      <c r="C11" s="24">
        <f>VLOOKUP(Expansion_Cities_Data[[#This Row],[City Name]],USA_Metro_Population_Lookup[],2,FALSE)</f>
        <v>1001010</v>
      </c>
      <c r="D11" s="37">
        <f>((Expansion_WCS[[#This Row],[Metro Population (2024)]]-MIN(Expansion_WCS[Metro Population (2024)]))/(MAX(Expansion_WCS[Metro Population (2024)])-MIN(Expansion_WCS[Metro Population (2024)])))*100</f>
        <v>0</v>
      </c>
      <c r="E11" s="50">
        <f>VLOOKUP(Expansion_Cities_Data[[#This Row],[City Name]],USA_Metro_Population_Lookup[],3,FALSE)</f>
        <v>3.45</v>
      </c>
      <c r="F11" s="53">
        <f>(Expansion_WCS[[#This Row],[Population Growth (% change since 2020)]]-MIN(Expansion_WCS[Population Growth (% change since 2020)]))/(MAX(Expansion_WCS[Population Growth (% change since 2020)])-MIN(Expansion_WCS[Population Growth (% change since 2020)])) * 100</f>
        <v>35.546875000000014</v>
      </c>
      <c r="G11" s="24">
        <f>VLOOKUP(Expansion_Cities_Data[[#This Row],[City Name]],Income_Data_Lookup[#All], 2, FALSE)</f>
        <v>75033</v>
      </c>
      <c r="H11" s="37">
        <f>(Expansion_WCS[[#This Row],[Per Capita Personal Income (2023)]]-MIN(Expansion_WCS[Per Capita Personal Income (2023)]))/(MAX(Expansion_WCS[Per Capita Personal Income (2023)])-MIN(Expansion_WCS[Per Capita Personal Income (2023)])) * 100</f>
        <v>42.212500891562257</v>
      </c>
      <c r="I11" s="17">
        <f>VLOOKUP(Expansion_Cities_Data[[#This Row],[City Name]],Nielsen_TV_Market_Lookup[],2,FALSE)</f>
        <v>74</v>
      </c>
      <c r="J11" s="37">
        <f>(Expansion_WCS[[#This Row],[Nielsen TV Market Rank]]-MAX(Expansion_WCS[Nielsen TV Market Rank]))/(MIN(Expansion_WCS[Nielsen TV Market Rank])-MAX(Expansion_WCS[Nielsen TV Market Rank])) * 100</f>
        <v>0</v>
      </c>
      <c r="K11" s="17">
        <f>VLOOKUP(Expansion_Cities_Data[[#This Row],[City Name]], Google_Trend_Score[#All], 2, FALSE)</f>
        <v>40</v>
      </c>
      <c r="L11" s="37">
        <f>(Expansion_WCS[[#This Row],[NBA Google Analytic Trend Score (0-100)]]-MIN(Expansion_WCS[NBA Google Analytic Trend Score (0-100)]))/(MAX(Expansion_WCS[NBA Google Analytic Trend Score (0-100)])-MIN(Expansion_WCS[NBA Google Analytic Trend Score (0-100)])) * 100</f>
        <v>14.285714285714285</v>
      </c>
      <c r="M11" s="50">
        <f>VLOOKUP(Expansion_Cities_Data[[#This Row],[City Name]],Demographic_Data_Lookup12[#All], 2, FALSE)</f>
        <v>41</v>
      </c>
      <c r="N11" s="37" cm="1">
        <f t="array" ref="N11">(Expansion_WCS[[#This Row],[Demographic Data (15 - 44 Age Group as a % of Total Population)]]-MIN(Expansion_WCS[Demographic Data (15 - 44 Age Group as a % of Total Population)]))/MAX(Expansion_WCS[Demographic Data (15 - 44 Age Group as a % of Total Population)]-MIN(Expansion_WCS[Demographic Data (15 - 44 Age Group as a % of Total Population)])) * 100</f>
        <v>39.795918367346935</v>
      </c>
      <c r="O11" s="17" t="str">
        <f>IF(Expansion_Cities_Data[[#This Row],[Arena Capacity ]] &gt; 15000,"Yes","No")</f>
        <v>Yes</v>
      </c>
      <c r="P11" s="17">
        <f>IF(Expansion_WCS[[#This Row],[NBA Ready Arena?]] = "YES",100,0)</f>
        <v>100</v>
      </c>
      <c r="Q11" s="17">
        <f>COUNTIF(Fortune_500_Companies_Lookup[City],Expansion_Cities_Data[[#This Row],[City Name]])</f>
        <v>4</v>
      </c>
      <c r="R11" s="37">
        <f>Expansion_WCS[[#This Row],[Fortune 500 HQ''s]]/11 * 100</f>
        <v>36.363636363636367</v>
      </c>
      <c r="S11" s="55">
        <f>(Expansion_WCS[[#This Row],[Metro Population Weighted Score (20%)]]*0.2)+(Expansion_WCS[[#This Row],[Population Growth Weighted Score (15%)]]*0.15)+(Expansion_WCS[[#This Row],[Per Capita Income Weighted Score (15%)]]*0.15)+(Expansion_WCS[[#This Row],[TV Market Rank Weighted Score (10%)]]*0.1)+(Expansion_WCS[[#This Row],[Google Trend Weighted Score (10%)]]*0.1)+(Expansion_WCS[[#This Row],[Demographic Weighted Score (10%)]]*0.1)+(Expansion_WCS[[#This Row],[Arena Criteria (10%)]]*0.1)+(Expansion_WCS[[#This Row],[Fortune 500 HQ''s Score (10%)]]*0.1)</f>
        <v>30.708433285404098</v>
      </c>
    </row>
    <row r="12" spans="1:19">
      <c r="A12" s="46" t="s">
        <v>57</v>
      </c>
      <c r="B12" s="44" t="s">
        <v>58</v>
      </c>
      <c r="C12" s="26">
        <f>VLOOKUP(Expansion_Cities_Data[[#This Row],[City Name]],USA_Metro_Population_Lookup[],2,FALSE)</f>
        <v>2429917</v>
      </c>
      <c r="D12" s="37">
        <f>((Expansion_WCS[[#This Row],[Metro Population (2024)]]-MIN(Expansion_WCS[Metro Population (2024)]))/(MAX(Expansion_WCS[Metro Population (2024)])-MIN(Expansion_WCS[Metro Population (2024)])))*100</f>
        <v>45.441700450693979</v>
      </c>
      <c r="E12" s="51">
        <f>VLOOKUP(Expansion_Cities_Data[[#This Row],[City Name]],USA_Metro_Population_Lookup[],3,FALSE)</f>
        <v>-1.1000000000000001</v>
      </c>
      <c r="F12" s="53">
        <f>(Expansion_WCS[[#This Row],[Population Growth (% change since 2020)]]-MIN(Expansion_WCS[Population Growth (% change since 2020)]))/(MAX(Expansion_WCS[Population Growth (% change since 2020)])-MIN(Expansion_WCS[Population Growth (% change since 2020)])) * 100</f>
        <v>0</v>
      </c>
      <c r="G12" s="24">
        <f>VLOOKUP(Expansion_Cities_Data[[#This Row],[City Name]],Income_Data_Lookup[#All], 2, FALSE)</f>
        <v>70559</v>
      </c>
      <c r="H12" s="37">
        <f>(Expansion_WCS[[#This Row],[Per Capita Personal Income (2023)]]-MIN(Expansion_WCS[Per Capita Personal Income (2023)]))/(MAX(Expansion_WCS[Per Capita Personal Income (2023)])-MIN(Expansion_WCS[Per Capita Personal Income (2023)])) * 100</f>
        <v>31.575568816718576</v>
      </c>
      <c r="I12" s="17">
        <f>VLOOKUP(Expansion_Cities_Data[[#This Row],[City Name]],Nielsen_TV_Market_Lookup[],2,FALSE)</f>
        <v>28</v>
      </c>
      <c r="J12" s="37">
        <f>(Expansion_WCS[[#This Row],[Nielsen TV Market Rank]]-MAX(Expansion_WCS[Nielsen TV Market Rank]))/(MIN(Expansion_WCS[Nielsen TV Market Rank])-MAX(Expansion_WCS[Nielsen TV Market Rank])) * 100</f>
        <v>74.193548387096769</v>
      </c>
      <c r="K12" s="17">
        <f>VLOOKUP(Expansion_Cities_Data[[#This Row],[City Name]], Google_Trend_Score[#All], 2, FALSE)</f>
        <v>35</v>
      </c>
      <c r="L12" s="37">
        <f>(Expansion_WCS[[#This Row],[NBA Google Analytic Trend Score (0-100)]]-MIN(Expansion_WCS[NBA Google Analytic Trend Score (0-100)]))/(MAX(Expansion_WCS[NBA Google Analytic Trend Score (0-100)])-MIN(Expansion_WCS[NBA Google Analytic Trend Score (0-100)])) * 100</f>
        <v>0</v>
      </c>
      <c r="M12" s="50">
        <f>VLOOKUP(Expansion_Cities_Data[[#This Row],[City Name]],Demographic_Data_Lookup12[#All], 2, FALSE)</f>
        <v>37.1</v>
      </c>
      <c r="N12" s="37" cm="1">
        <f t="array" ref="N12">(Expansion_WCS[[#This Row],[Demographic Data (15 - 44 Age Group as a % of Total Population)]]-MIN(Expansion_WCS[Demographic Data (15 - 44 Age Group as a % of Total Population)]))/MAX(Expansion_WCS[Demographic Data (15 - 44 Age Group as a % of Total Population)]-MIN(Expansion_WCS[Demographic Data (15 - 44 Age Group as a % of Total Population)])) * 100</f>
        <v>0</v>
      </c>
      <c r="O12" s="17" t="str">
        <f>IF(Expansion_Cities_Data[[#This Row],[Arena Capacity ]] &gt; 15000,"Yes","No")</f>
        <v>Yes</v>
      </c>
      <c r="P12" s="17">
        <f>IF(Expansion_WCS[[#This Row],[NBA Ready Arena?]] = "YES",100,0)</f>
        <v>100</v>
      </c>
      <c r="Q12" s="17">
        <f>COUNTIF(Fortune_500_Companies_Lookup[City],Expansion_Cities_Data[[#This Row],[City Name]])</f>
        <v>9</v>
      </c>
      <c r="R12" s="37">
        <f>Expansion_WCS[[#This Row],[Fortune 500 HQ''s]]/11 * 100</f>
        <v>81.818181818181827</v>
      </c>
      <c r="S12" s="55">
        <f>(Expansion_WCS[[#This Row],[Metro Population Weighted Score (20%)]]*0.2)+(Expansion_WCS[[#This Row],[Population Growth Weighted Score (15%)]]*0.15)+(Expansion_WCS[[#This Row],[Per Capita Income Weighted Score (15%)]]*0.15)+(Expansion_WCS[[#This Row],[TV Market Rank Weighted Score (10%)]]*0.1)+(Expansion_WCS[[#This Row],[Google Trend Weighted Score (10%)]]*0.1)+(Expansion_WCS[[#This Row],[Demographic Weighted Score (10%)]]*0.1)+(Expansion_WCS[[#This Row],[Arena Criteria (10%)]]*0.1)+(Expansion_WCS[[#This Row],[Fortune 500 HQ''s Score (10%)]]*0.1)</f>
        <v>39.425848433174444</v>
      </c>
    </row>
    <row r="13" spans="1:19">
      <c r="A13" s="23" t="s">
        <v>60</v>
      </c>
      <c r="B13" s="17" t="s">
        <v>61</v>
      </c>
      <c r="C13" s="26">
        <f>VLOOKUP(Expansion_Cities_Data[[#This Row],[City Name]],USA_Metro_Population_Lookup[],2,FALSE)</f>
        <v>3298799</v>
      </c>
      <c r="D13" s="37">
        <f>((Expansion_WCS[[#This Row],[Metro Population (2024)]]-MIN(Expansion_WCS[Metro Population (2024)]))/(MAX(Expansion_WCS[Metro Population (2024)])-MIN(Expansion_WCS[Metro Population (2024)])))*100</f>
        <v>73.073642607181327</v>
      </c>
      <c r="E13" s="51">
        <f>VLOOKUP(Expansion_Cities_Data[[#This Row],[City Name]],USA_Metro_Population_Lookup[],3,FALSE)</f>
        <v>0.01</v>
      </c>
      <c r="F13" s="53">
        <f>(Expansion_WCS[[#This Row],[Population Growth (% change since 2020)]]-MIN(Expansion_WCS[Population Growth (% change since 2020)]))/(MAX(Expansion_WCS[Population Growth (% change since 2020)])-MIN(Expansion_WCS[Population Growth (% change since 2020)])) * 100</f>
        <v>8.6718750000000018</v>
      </c>
      <c r="G13" s="24">
        <f>VLOOKUP(Expansion_Cities_Data[[#This Row],[City Name]],Income_Data_Lookup[#All], 2, FALSE)</f>
        <v>79122</v>
      </c>
      <c r="H13" s="37">
        <f>(Expansion_WCS[[#This Row],[Per Capita Personal Income (2023)]]-MIN(Expansion_WCS[Per Capita Personal Income (2023)]))/(MAX(Expansion_WCS[Per Capita Personal Income (2023)])-MIN(Expansion_WCS[Per Capita Personal Income (2023)])) * 100</f>
        <v>51.934095718123672</v>
      </c>
      <c r="I13" s="17">
        <f>VLOOKUP(Expansion_Cities_Data[[#This Row],[City Name]],Nielsen_TV_Market_Lookup[],2,FALSE)</f>
        <v>31</v>
      </c>
      <c r="J13" s="37">
        <f>(Expansion_WCS[[#This Row],[Nielsen TV Market Rank]]-MAX(Expansion_WCS[Nielsen TV Market Rank]))/(MIN(Expansion_WCS[Nielsen TV Market Rank])-MAX(Expansion_WCS[Nielsen TV Market Rank])) * 100</f>
        <v>69.354838709677423</v>
      </c>
      <c r="K13" s="17">
        <f>VLOOKUP(Expansion_Cities_Data[[#This Row],[City Name]], Google_Trend_Score[#All], 2, FALSE)</f>
        <v>55</v>
      </c>
      <c r="L13" s="37">
        <f>(Expansion_WCS[[#This Row],[NBA Google Analytic Trend Score (0-100)]]-MIN(Expansion_WCS[NBA Google Analytic Trend Score (0-100)]))/(MAX(Expansion_WCS[NBA Google Analytic Trend Score (0-100)])-MIN(Expansion_WCS[NBA Google Analytic Trend Score (0-100)])) * 100</f>
        <v>57.142857142857139</v>
      </c>
      <c r="M13" s="50">
        <f>VLOOKUP(Expansion_Cities_Data[[#This Row],[City Name]],Demographic_Data_Lookup12[#All], 2, FALSE)</f>
        <v>43.5</v>
      </c>
      <c r="N13" s="37" cm="1">
        <f t="array" ref="N13">(Expansion_WCS[[#This Row],[Demographic Data (15 - 44 Age Group as a % of Total Population)]]-MIN(Expansion_WCS[Demographic Data (15 - 44 Age Group as a % of Total Population)]))/MAX(Expansion_WCS[Demographic Data (15 - 44 Age Group as a % of Total Population)]-MIN(Expansion_WCS[Demographic Data (15 - 44 Age Group as a % of Total Population)])) * 100</f>
        <v>65.306122448979593</v>
      </c>
      <c r="O13" s="17" t="str">
        <f>IF(Expansion_Cities_Data[[#This Row],[Arena Capacity ]] &gt; 15000,"Yes","No")</f>
        <v>No</v>
      </c>
      <c r="P13" s="17">
        <f>IF(Expansion_WCS[[#This Row],[NBA Ready Arena?]] = "YES",100,0)</f>
        <v>0</v>
      </c>
      <c r="Q13" s="17">
        <f>COUNTIF(Fortune_500_Companies_Lookup[City],Expansion_Cities_Data[[#This Row],[City Name]])</f>
        <v>3</v>
      </c>
      <c r="R13" s="37">
        <f>Expansion_WCS[[#This Row],[Fortune 500 HQ''s]]/11 * 100</f>
        <v>27.27272727272727</v>
      </c>
      <c r="S13" s="55">
        <f>(Expansion_WCS[[#This Row],[Metro Population Weighted Score (20%)]]*0.2)+(Expansion_WCS[[#This Row],[Population Growth Weighted Score (15%)]]*0.15)+(Expansion_WCS[[#This Row],[Per Capita Income Weighted Score (15%)]]*0.15)+(Expansion_WCS[[#This Row],[TV Market Rank Weighted Score (10%)]]*0.1)+(Expansion_WCS[[#This Row],[Google Trend Weighted Score (10%)]]*0.1)+(Expansion_WCS[[#This Row],[Demographic Weighted Score (10%)]]*0.1)+(Expansion_WCS[[#This Row],[Arena Criteria (10%)]]*0.1)+(Expansion_WCS[[#This Row],[Fortune 500 HQ''s Score (10%)]]*0.1)</f>
        <v>45.613278686578958</v>
      </c>
    </row>
    <row r="14" spans="1:19">
      <c r="A14" s="46" t="s">
        <v>63</v>
      </c>
      <c r="B14" s="44" t="s">
        <v>64</v>
      </c>
      <c r="C14" s="26">
        <f>VLOOKUP(Expansion_Cities_Data[[#This Row],[City Name]],USA_Metro_Population_Lookup[],2,FALSE)</f>
        <v>4145494</v>
      </c>
      <c r="D14" s="37">
        <f>((Expansion_WCS[[#This Row],[Metro Population (2024)]]-MIN(Expansion_WCS[Metro Population (2024)]))/(MAX(Expansion_WCS[Metro Population (2024)])-MIN(Expansion_WCS[Metro Population (2024)])))*100</f>
        <v>100</v>
      </c>
      <c r="E14" s="51">
        <f>VLOOKUP(Expansion_Cities_Data[[#This Row],[City Name]],USA_Metro_Population_Lookup[],3,FALSE)</f>
        <v>3.15</v>
      </c>
      <c r="F14" s="53">
        <f>(Expansion_WCS[[#This Row],[Population Growth (% change since 2020)]]-MIN(Expansion_WCS[Population Growth (% change since 2020)]))/(MAX(Expansion_WCS[Population Growth (% change since 2020)])-MIN(Expansion_WCS[Population Growth (% change since 2020)])) * 100</f>
        <v>33.203125</v>
      </c>
      <c r="G14" s="24">
        <f>VLOOKUP(Expansion_Cities_Data[[#This Row],[City Name]],Income_Data_Lookup[#All], 2, FALSE)</f>
        <v>99339</v>
      </c>
      <c r="H14" s="37">
        <f>(Expansion_WCS[[#This Row],[Per Capita Personal Income (2023)]]-MIN(Expansion_WCS[Per Capita Personal Income (2023)]))/(MAX(Expansion_WCS[Per Capita Personal Income (2023)])-MIN(Expansion_WCS[Per Capita Personal Income (2023)])) * 100</f>
        <v>100</v>
      </c>
      <c r="I14" s="17">
        <f>VLOOKUP(Expansion_Cities_Data[[#This Row],[City Name]],Nielsen_TV_Market_Lookup[],2,FALSE)</f>
        <v>14</v>
      </c>
      <c r="J14" s="37">
        <f>(Expansion_WCS[[#This Row],[Nielsen TV Market Rank]]-MAX(Expansion_WCS[Nielsen TV Market Rank]))/(MIN(Expansion_WCS[Nielsen TV Market Rank])-MAX(Expansion_WCS[Nielsen TV Market Rank])) * 100</f>
        <v>96.774193548387103</v>
      </c>
      <c r="K14" s="17">
        <f>VLOOKUP(Expansion_Cities_Data[[#This Row],[City Name]], Google_Trend_Score[#All], 2, FALSE)</f>
        <v>42</v>
      </c>
      <c r="L14" s="37">
        <f>(Expansion_WCS[[#This Row],[NBA Google Analytic Trend Score (0-100)]]-MIN(Expansion_WCS[NBA Google Analytic Trend Score (0-100)]))/(MAX(Expansion_WCS[NBA Google Analytic Trend Score (0-100)])-MIN(Expansion_WCS[NBA Google Analytic Trend Score (0-100)])) * 100</f>
        <v>20</v>
      </c>
      <c r="M14" s="50">
        <f>VLOOKUP(Expansion_Cities_Data[[#This Row],[City Name]],Demographic_Data_Lookup12[#All], 2, FALSE)</f>
        <v>44.2</v>
      </c>
      <c r="N14" s="37" cm="1">
        <f t="array" ref="N14">(Expansion_WCS[[#This Row],[Demographic Data (15 - 44 Age Group as a % of Total Population)]]-MIN(Expansion_WCS[Demographic Data (15 - 44 Age Group as a % of Total Population)]))/MAX(Expansion_WCS[Demographic Data (15 - 44 Age Group as a % of Total Population)]-MIN(Expansion_WCS[Demographic Data (15 - 44 Age Group as a % of Total Population)])) * 100</f>
        <v>72.448979591836775</v>
      </c>
      <c r="O14" s="17" t="str">
        <f>IF(Expansion_Cities_Data[[#This Row],[Arena Capacity ]] &gt; 15000,"Yes","No")</f>
        <v>Yes</v>
      </c>
      <c r="P14" s="17">
        <f>IF(Expansion_WCS[[#This Row],[NBA Ready Arena?]] = "YES",100,0)</f>
        <v>100</v>
      </c>
      <c r="Q14" s="27">
        <f>COUNTIF(Fortune_500_Companies_Lookup[City],Expansion_Cities_Data[[#This Row],[City Name]])</f>
        <v>11</v>
      </c>
      <c r="R14" s="37">
        <f>Expansion_WCS[[#This Row],[Fortune 500 HQ''s]]/11 * 100</f>
        <v>100</v>
      </c>
      <c r="S14" s="55">
        <f>(Expansion_WCS[[#This Row],[Metro Population Weighted Score (20%)]]*0.2)+(Expansion_WCS[[#This Row],[Population Growth Weighted Score (15%)]]*0.15)+(Expansion_WCS[[#This Row],[Per Capita Income Weighted Score (15%)]]*0.15)+(Expansion_WCS[[#This Row],[TV Market Rank Weighted Score (10%)]]*0.1)+(Expansion_WCS[[#This Row],[Google Trend Weighted Score (10%)]]*0.1)+(Expansion_WCS[[#This Row],[Demographic Weighted Score (10%)]]*0.1)+(Expansion_WCS[[#This Row],[Arena Criteria (10%)]]*0.1)+(Expansion_WCS[[#This Row],[Fortune 500 HQ''s Score (10%)]]*0.1)</f>
        <v>78.902786064022393</v>
      </c>
    </row>
    <row r="15" spans="1:19">
      <c r="A15" s="23" t="s">
        <v>66</v>
      </c>
      <c r="B15" s="17" t="s">
        <v>67</v>
      </c>
      <c r="C15" s="26">
        <f>VLOOKUP(Expansion_Cities_Data[[#This Row],[City Name]],USA_Metro_Population_Lookup[],2,FALSE)</f>
        <v>2811927</v>
      </c>
      <c r="D15" s="37">
        <f>((Expansion_WCS[[#This Row],[Metro Population (2024)]]-MIN(Expansion_WCS[Metro Population (2024)]))/(MAX(Expansion_WCS[Metro Population (2024)])-MIN(Expansion_WCS[Metro Population (2024)])))*100</f>
        <v>57.590275542823562</v>
      </c>
      <c r="E15" s="51">
        <f>VLOOKUP(Expansion_Cities_Data[[#This Row],[City Name]],USA_Metro_Population_Lookup[],3,FALSE)</f>
        <v>-0.3</v>
      </c>
      <c r="F15" s="53">
        <f>(Expansion_WCS[[#This Row],[Population Growth (% change since 2020)]]-MIN(Expansion_WCS[Population Growth (% change since 2020)]))/(MAX(Expansion_WCS[Population Growth (% change since 2020)])-MIN(Expansion_WCS[Population Growth (% change since 2020)])) * 100</f>
        <v>6.2500000000000018</v>
      </c>
      <c r="G15" s="24">
        <f>VLOOKUP(Expansion_Cities_Data[[#This Row],[City Name]],Income_Data_Lookup[#All], 2, FALSE)</f>
        <v>75577</v>
      </c>
      <c r="H15" s="37">
        <f>(Expansion_WCS[[#This Row],[Per Capita Personal Income (2023)]]-MIN(Expansion_WCS[Per Capita Personal Income (2023)]))/(MAX(Expansion_WCS[Per Capita Personal Income (2023)])-MIN(Expansion_WCS[Per Capita Personal Income (2023)])) * 100</f>
        <v>43.505860535888353</v>
      </c>
      <c r="I15" s="17">
        <f>VLOOKUP(Expansion_Cities_Data[[#This Row],[City Name]],Nielsen_TV_Market_Lookup[],2,FALSE)</f>
        <v>25</v>
      </c>
      <c r="J15" s="37">
        <f>(Expansion_WCS[[#This Row],[Nielsen TV Market Rank]]-MAX(Expansion_WCS[Nielsen TV Market Rank]))/(MIN(Expansion_WCS[Nielsen TV Market Rank])-MAX(Expansion_WCS[Nielsen TV Market Rank])) * 100</f>
        <v>79.032258064516128</v>
      </c>
      <c r="K15" s="17">
        <f>VLOOKUP(Expansion_Cities_Data[[#This Row],[City Name]], Google_Trend_Score[#All], 2, FALSE)</f>
        <v>43</v>
      </c>
      <c r="L15" s="37">
        <f>(Expansion_WCS[[#This Row],[NBA Google Analytic Trend Score (0-100)]]-MIN(Expansion_WCS[NBA Google Analytic Trend Score (0-100)]))/(MAX(Expansion_WCS[NBA Google Analytic Trend Score (0-100)])-MIN(Expansion_WCS[NBA Google Analytic Trend Score (0-100)])) * 100</f>
        <v>22.857142857142858</v>
      </c>
      <c r="M15" s="50">
        <f>VLOOKUP(Expansion_Cities_Data[[#This Row],[City Name]],Demographic_Data_Lookup12[#All], 2, FALSE)</f>
        <v>38.799999999999997</v>
      </c>
      <c r="N15" s="37" cm="1">
        <f t="array" ref="N15">(Expansion_WCS[[#This Row],[Demographic Data (15 - 44 Age Group as a % of Total Population)]]-MIN(Expansion_WCS[Demographic Data (15 - 44 Age Group as a % of Total Population)]))/MAX(Expansion_WCS[Demographic Data (15 - 44 Age Group as a % of Total Population)]-MIN(Expansion_WCS[Demographic Data (15 - 44 Age Group as a % of Total Population)])) * 100</f>
        <v>17.346938775510164</v>
      </c>
      <c r="O15" s="17" t="str">
        <f>IF(Expansion_Cities_Data[[#This Row],[Arena Capacity ]] &gt; 15000,"Yes","No")</f>
        <v>Yes</v>
      </c>
      <c r="P15" s="17">
        <f>IF(Expansion_WCS[[#This Row],[NBA Ready Arena?]] = "YES",100,0)</f>
        <v>100</v>
      </c>
      <c r="Q15" s="17">
        <f>COUNTIF(Fortune_500_Companies_Lookup[City],Expansion_Cities_Data[[#This Row],[City Name]])</f>
        <v>7</v>
      </c>
      <c r="R15" s="37">
        <f>Expansion_WCS[[#This Row],[Fortune 500 HQ''s]]/11 * 100</f>
        <v>63.636363636363633</v>
      </c>
      <c r="S15" s="55">
        <f>(Expansion_WCS[[#This Row],[Metro Population Weighted Score (20%)]]*0.2)+(Expansion_WCS[[#This Row],[Population Growth Weighted Score (15%)]]*0.15)+(Expansion_WCS[[#This Row],[Per Capita Income Weighted Score (15%)]]*0.15)+(Expansion_WCS[[#This Row],[TV Market Rank Weighted Score (10%)]]*0.1)+(Expansion_WCS[[#This Row],[Google Trend Weighted Score (10%)]]*0.1)+(Expansion_WCS[[#This Row],[Demographic Weighted Score (10%)]]*0.1)+(Expansion_WCS[[#This Row],[Arena Criteria (10%)]]*0.1)+(Expansion_WCS[[#This Row],[Fortune 500 HQ''s Score (10%)]]*0.1)</f>
        <v>47.268704522301235</v>
      </c>
    </row>
    <row r="16" spans="1:19">
      <c r="A16" s="46" t="s">
        <v>69</v>
      </c>
      <c r="B16" s="44" t="s">
        <v>70</v>
      </c>
      <c r="C16" s="26">
        <f>VLOOKUP(Expansion_Cities_Data[[#This Row],[City Name]],USA_Metro_Population_Lookup[],2,FALSE)</f>
        <v>3424560</v>
      </c>
      <c r="D16" s="37">
        <f>((Expansion_WCS[[#This Row],[Metro Population (2024)]]-MIN(Expansion_WCS[Metro Population (2024)]))/(MAX(Expansion_WCS[Metro Population (2024)])-MIN(Expansion_WCS[Metro Population (2024)])))*100</f>
        <v>77.073058727600468</v>
      </c>
      <c r="E16" s="51">
        <f>VLOOKUP(Expansion_Cities_Data[[#This Row],[City Name]],USA_Metro_Population_Lookup[],3,FALSE)</f>
        <v>7.85</v>
      </c>
      <c r="F16" s="53">
        <f>(Expansion_WCS[[#This Row],[Population Growth (% change since 2020)]]-MIN(Expansion_WCS[Population Growth (% change since 2020)]))/(MAX(Expansion_WCS[Population Growth (% change since 2020)])-MIN(Expansion_WCS[Population Growth (% change since 2020)])) * 100</f>
        <v>69.921875</v>
      </c>
      <c r="G16" s="24">
        <f>VLOOKUP(Expansion_Cities_Data[[#This Row],[City Name]],Income_Data_Lookup[#All], 2, FALSE)</f>
        <v>63789</v>
      </c>
      <c r="H16" s="37">
        <f>(Expansion_WCS[[#This Row],[Per Capita Personal Income (2023)]]-MIN(Expansion_WCS[Per Capita Personal Income (2023)]))/(MAX(Expansion_WCS[Per Capita Personal Income (2023)])-MIN(Expansion_WCS[Per Capita Personal Income (2023)])) * 100</f>
        <v>15.479898243027984</v>
      </c>
      <c r="I16" s="17">
        <f>VLOOKUP(Expansion_Cities_Data[[#This Row],[City Name]],Nielsen_TV_Market_Lookup[],2,FALSE)</f>
        <v>12</v>
      </c>
      <c r="J16" s="37">
        <f>(Expansion_WCS[[#This Row],[Nielsen TV Market Rank]]-MAX(Expansion_WCS[Nielsen TV Market Rank]))/(MIN(Expansion_WCS[Nielsen TV Market Rank])-MAX(Expansion_WCS[Nielsen TV Market Rank])) * 100</f>
        <v>100</v>
      </c>
      <c r="K16" s="17">
        <f>VLOOKUP(Expansion_Cities_Data[[#This Row],[City Name]], Google_Trend_Score[#All], 2, FALSE)</f>
        <v>42</v>
      </c>
      <c r="L16" s="37">
        <f>(Expansion_WCS[[#This Row],[NBA Google Analytic Trend Score (0-100)]]-MIN(Expansion_WCS[NBA Google Analytic Trend Score (0-100)]))/(MAX(Expansion_WCS[NBA Google Analytic Trend Score (0-100)])-MIN(Expansion_WCS[NBA Google Analytic Trend Score (0-100)])) * 100</f>
        <v>20</v>
      </c>
      <c r="M16" s="50">
        <f>VLOOKUP(Expansion_Cities_Data[[#This Row],[City Name]],Demographic_Data_Lookup12[#All], 2, FALSE)</f>
        <v>37.700000000000003</v>
      </c>
      <c r="N16" s="37" cm="1">
        <f t="array" ref="N16">(Expansion_WCS[[#This Row],[Demographic Data (15 - 44 Age Group as a % of Total Population)]]-MIN(Expansion_WCS[Demographic Data (15 - 44 Age Group as a % of Total Population)]))/MAX(Expansion_WCS[Demographic Data (15 - 44 Age Group as a % of Total Population)]-MIN(Expansion_WCS[Demographic Data (15 - 44 Age Group as a % of Total Population)])) * 100</f>
        <v>6.1224489795918533</v>
      </c>
      <c r="O16" s="17" t="str">
        <f>IF(Expansion_Cities_Data[[#This Row],[Arena Capacity ]] &gt; 15000,"Yes","No")</f>
        <v>Yes</v>
      </c>
      <c r="P16" s="17">
        <f>IF(Expansion_WCS[[#This Row],[NBA Ready Arena?]] = "YES",100,0)</f>
        <v>100</v>
      </c>
      <c r="Q16" s="17">
        <f>COUNTIF(Fortune_500_Companies_Lookup[City],Expansion_Cities_Data[[#This Row],[City Name]])</f>
        <v>5</v>
      </c>
      <c r="R16" s="37">
        <f>Expansion_WCS[[#This Row],[Fortune 500 HQ''s]]/11 * 100</f>
        <v>45.454545454545453</v>
      </c>
      <c r="S16" s="55">
        <f>(Expansion_WCS[[#This Row],[Metro Population Weighted Score (20%)]]*0.2)+(Expansion_WCS[[#This Row],[Population Growth Weighted Score (15%)]]*0.15)+(Expansion_WCS[[#This Row],[Per Capita Income Weighted Score (15%)]]*0.15)+(Expansion_WCS[[#This Row],[TV Market Rank Weighted Score (10%)]]*0.1)+(Expansion_WCS[[#This Row],[Google Trend Weighted Score (10%)]]*0.1)+(Expansion_WCS[[#This Row],[Demographic Weighted Score (10%)]]*0.1)+(Expansion_WCS[[#This Row],[Arena Criteria (10%)]]*0.1)+(Expansion_WCS[[#This Row],[Fortune 500 HQ''s Score (10%)]]*0.1)</f>
        <v>55.382577175388022</v>
      </c>
    </row>
    <row r="17" spans="1:19">
      <c r="A17" s="28" t="s">
        <v>72</v>
      </c>
      <c r="B17" s="29" t="s">
        <v>73</v>
      </c>
      <c r="C17" s="30">
        <f>VLOOKUP(Expansion_Cities_Data[[#This Row],[City Name]],USA_Metro_Population_Lookup[],2,FALSE)</f>
        <v>1794278</v>
      </c>
      <c r="D17" s="49">
        <f>((Expansion_WCS[[#This Row],[Metro Population (2024)]]-MIN(Expansion_WCS[Metro Population (2024)]))/(MAX(Expansion_WCS[Metro Population (2024)])-MIN(Expansion_WCS[Metro Population (2024)])))*100</f>
        <v>25.227286893493496</v>
      </c>
      <c r="E17" s="52">
        <f>VLOOKUP(Expansion_Cities_Data[[#This Row],[City Name]],USA_Metro_Population_Lookup[],3,FALSE)</f>
        <v>0.8</v>
      </c>
      <c r="F17" s="53">
        <f>(Expansion_WCS[[#This Row],[Population Growth (% change since 2020)]]-MIN(Expansion_WCS[Population Growth (% change since 2020)]))/(MAX(Expansion_WCS[Population Growth (% change since 2020)])-MIN(Expansion_WCS[Population Growth (% change since 2020)])) * 100</f>
        <v>14.843750000000004</v>
      </c>
      <c r="G17" s="30">
        <f>VLOOKUP(Expansion_Cities_Data[[#This Row],[City Name]],Income_Data_Lookup[#All], 2, FALSE)</f>
        <v>62575</v>
      </c>
      <c r="H17" s="37">
        <f>(Expansion_WCS[[#This Row],[Per Capita Personal Income (2023)]]-MIN(Expansion_WCS[Per Capita Personal Income (2023)]))/(MAX(Expansion_WCS[Per Capita Personal Income (2023)])-MIN(Expansion_WCS[Per Capita Personal Income (2023)])) * 100</f>
        <v>12.59361403675614</v>
      </c>
      <c r="I17" s="29">
        <f>VLOOKUP(Expansion_Cities_Data[[#This Row],[City Name]],Nielsen_TV_Market_Lookup[],2,FALSE)</f>
        <v>45</v>
      </c>
      <c r="J17" s="37">
        <f>(Expansion_WCS[[#This Row],[Nielsen TV Market Rank]]-MAX(Expansion_WCS[Nielsen TV Market Rank]))/(MIN(Expansion_WCS[Nielsen TV Market Rank])-MAX(Expansion_WCS[Nielsen TV Market Rank])) * 100</f>
        <v>46.774193548387096</v>
      </c>
      <c r="K17" s="29">
        <f>VLOOKUP(Expansion_Cities_Data[[#This Row],[City Name]], Google_Trend_Score[#All], 2, FALSE)</f>
        <v>52</v>
      </c>
      <c r="L17" s="37">
        <f>(Expansion_WCS[[#This Row],[NBA Google Analytic Trend Score (0-100)]]-MIN(Expansion_WCS[NBA Google Analytic Trend Score (0-100)]))/(MAX(Expansion_WCS[NBA Google Analytic Trend Score (0-100)])-MIN(Expansion_WCS[NBA Google Analytic Trend Score (0-100)])) * 100</f>
        <v>48.571428571428569</v>
      </c>
      <c r="M17" s="52">
        <f>VLOOKUP(Expansion_Cities_Data[[#This Row],[City Name]],Demographic_Data_Lookup12[#All], 2, FALSE)</f>
        <v>41.9</v>
      </c>
      <c r="N17" s="37" cm="1">
        <f t="array" ref="N17">(Expansion_WCS[[#This Row],[Demographic Data (15 - 44 Age Group as a % of Total Population)]]-MIN(Expansion_WCS[Demographic Data (15 - 44 Age Group as a % of Total Population)]))/MAX(Expansion_WCS[Demographic Data (15 - 44 Age Group as a % of Total Population)]-MIN(Expansion_WCS[Demographic Data (15 - 44 Age Group as a % of Total Population)])) * 100</f>
        <v>48.979591836734684</v>
      </c>
      <c r="O17" s="29" t="str">
        <f>IF(Expansion_Cities_Data[[#This Row],[Arena Capacity ]] &gt; 15000,"Yes","No")</f>
        <v>No</v>
      </c>
      <c r="P17" s="17">
        <f>IF(Expansion_WCS[[#This Row],[NBA Ready Arena?]] = "YES",100,0)</f>
        <v>0</v>
      </c>
      <c r="Q17" s="29">
        <f>COUNTIF(Fortune_500_Companies_Lookup[City],Expansion_Cities_Data[[#This Row],[City Name]])</f>
        <v>3</v>
      </c>
      <c r="R17" s="37">
        <f>Expansion_WCS[[#This Row],[Fortune 500 HQ''s]]/11 * 100</f>
        <v>27.27272727272727</v>
      </c>
      <c r="S17" s="55">
        <f>(Expansion_WCS[[#This Row],[Metro Population Weighted Score (20%)]]*0.2)+(Expansion_WCS[[#This Row],[Population Growth Weighted Score (15%)]]*0.15)+(Expansion_WCS[[#This Row],[Per Capita Income Weighted Score (15%)]]*0.15)+(Expansion_WCS[[#This Row],[TV Market Rank Weighted Score (10%)]]*0.1)+(Expansion_WCS[[#This Row],[Google Trend Weighted Score (10%)]]*0.1)+(Expansion_WCS[[#This Row],[Demographic Weighted Score (10%)]]*0.1)+(Expansion_WCS[[#This Row],[Arena Criteria (10%)]]*0.1)+(Expansion_WCS[[#This Row],[Fortune 500 HQ''s Score (10%)]]*0.1)</f>
        <v>26.320856107139885</v>
      </c>
    </row>
  </sheetData>
  <phoneticPr fontId="2" type="noConversion"/>
  <dataValidations count="1">
    <dataValidation type="list" allowBlank="1" showInputMessage="1" showErrorMessage="1" sqref="O2:O17 Q2:Q17" xr:uid="{640DF96E-CCA1-4843-AA80-F9EE9CA6F21A}">
      <formula1>"Yes, No"</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9CE10-9589-4D7A-AFBF-1FA787668E78}">
  <dimension ref="A1:R31"/>
  <sheetViews>
    <sheetView workbookViewId="0">
      <pane xSplit="1" topLeftCell="B1" activePane="topRight" state="frozen"/>
      <selection pane="topRight" activeCell="Q6" sqref="Q6"/>
    </sheetView>
  </sheetViews>
  <sheetFormatPr defaultRowHeight="14.45"/>
  <cols>
    <col min="1" max="1" width="8.5703125" customWidth="1"/>
    <col min="2" max="2" width="14.5703125" bestFit="1" customWidth="1"/>
    <col min="3" max="3" width="23.42578125" hidden="1" customWidth="1"/>
    <col min="4" max="4" width="16.42578125" customWidth="1"/>
    <col min="5" max="5" width="39.140625" hidden="1" customWidth="1"/>
    <col min="6" max="6" width="16.5703125" customWidth="1"/>
    <col min="7" max="7" width="33" hidden="1" customWidth="1"/>
    <col min="8" max="8" width="24.85546875" customWidth="1"/>
    <col min="9" max="9" width="22.85546875" hidden="1" customWidth="1"/>
    <col min="10" max="10" width="22.85546875" customWidth="1"/>
    <col min="11" max="11" width="37.42578125" hidden="1" customWidth="1"/>
    <col min="12" max="12" width="19" customWidth="1"/>
    <col min="13" max="13" width="35.5703125" hidden="1" customWidth="1"/>
    <col min="14" max="14" width="17.42578125" customWidth="1"/>
    <col min="15" max="15" width="14.85546875" customWidth="1"/>
    <col min="16" max="16" width="17.42578125" hidden="1" customWidth="1"/>
    <col min="17" max="17" width="17.42578125" customWidth="1"/>
    <col min="18" max="18" width="20.5703125" customWidth="1"/>
  </cols>
  <sheetData>
    <row r="1" spans="1:18" ht="43.5">
      <c r="A1" s="60" t="s">
        <v>0</v>
      </c>
      <c r="B1" s="57" t="s">
        <v>1</v>
      </c>
      <c r="C1" s="58" t="s">
        <v>77</v>
      </c>
      <c r="D1" s="54" t="s">
        <v>203</v>
      </c>
      <c r="E1" s="57" t="s">
        <v>78</v>
      </c>
      <c r="F1" s="54" t="s">
        <v>204</v>
      </c>
      <c r="G1" s="79" t="s">
        <v>8</v>
      </c>
      <c r="H1" s="54" t="s">
        <v>205</v>
      </c>
      <c r="I1" s="57" t="s">
        <v>10</v>
      </c>
      <c r="J1" s="54" t="s">
        <v>206</v>
      </c>
      <c r="K1" s="63" t="s">
        <v>11</v>
      </c>
      <c r="L1" s="54" t="s">
        <v>207</v>
      </c>
      <c r="M1" s="57" t="s">
        <v>213</v>
      </c>
      <c r="N1" s="54" t="s">
        <v>208</v>
      </c>
      <c r="O1" s="88" t="s">
        <v>209</v>
      </c>
      <c r="P1" s="57" t="s">
        <v>17</v>
      </c>
      <c r="Q1" s="54" t="s">
        <v>210</v>
      </c>
      <c r="R1" s="87" t="s">
        <v>84</v>
      </c>
    </row>
    <row r="2" spans="1:18">
      <c r="A2" s="46" t="s">
        <v>85</v>
      </c>
      <c r="B2" s="44" t="s">
        <v>86</v>
      </c>
      <c r="C2" s="59">
        <f>VLOOKUP(NBA_Teams_Data[[#This Row],[City Name]],USA_Metro_Population_Lookup[],2,FALSE)</f>
        <v>6411149</v>
      </c>
      <c r="D2" s="81">
        <f>(NBA_City_WCS[[#This Row],[Metro Population 2024]]-MIN(NBA_City_WCS[Metro Population 2024]))/(MAX(NBA_City_WCS[Metro Population 2024])-MIN(NBA_City_WCS[Metro Population 2024])) * 100</f>
        <v>28.696671094469899</v>
      </c>
      <c r="E2" s="78">
        <f>VLOOKUP(NBA_Teams_Data[[#This Row],[City Name]],USA_Metro_Population_Lookup[], 3, FALSE)</f>
        <v>5.0199999999999996</v>
      </c>
      <c r="F2" s="82">
        <f>(NBA_City_WCS[[#This Row],[Population Growth (% Change since 2020)]]-MIN(NBA_City_WCS[[#All],[Population Growth (% Change since 2020)]]))/(MAX(NBA_City_WCS[Population Growth (% Change since 2020)])-MIN(NBA_City_WCS[Population Growth (% Change since 2020)])) * 100</f>
        <v>64.651493598862018</v>
      </c>
      <c r="G2" s="65">
        <f>VLOOKUP(NBA_Teams_Data[[#This Row],[City Name]], Income_Data_Lookup[#All], 2, FALSE)</f>
        <v>68027</v>
      </c>
      <c r="H2" s="83">
        <f>(NBA_City_WCS[[#This Row],[Per Capita Personal Income (2023)]]-MIN(NBA_City_WCS[[#All],[Per Capita Personal Income (2023)]]))/(MAX(NBA_City_WCS[[#All],[Per Capita Personal Income (2023)]])-MIN(NBA_City_WCS[[#All],[Per Capita Personal Income (2023)]])) * 100</f>
        <v>14.317924051324798</v>
      </c>
      <c r="I2" s="44">
        <f>VLOOKUP(NBA_Teams_Data[[#This Row],[City Name]],Nielsen_TV_Market_Lookup[],2,FALSE)</f>
        <v>7</v>
      </c>
      <c r="J2" s="84">
        <f>(NBA_City_WCS[[#This Row],[Nielsen TV Market Rank]]-MAX(NBA_City_WCS[Nielsen TV Market Rank]))/(MIN(NBA_City_WCS[Nielsen TV Market Rank])-MAX(NBA_City_WCS[Nielsen TV Market Rank])) * 100</f>
        <v>88.235294117647058</v>
      </c>
      <c r="K2" s="44">
        <f>VLOOKUP(NBA_Teams_Data[[#This Row],[City Name]],Google_Trend_Score[#All], 2, FALSE)</f>
        <v>54</v>
      </c>
      <c r="L2" s="84">
        <f>(NBA_City_WCS[[#This Row],[NBA Google Analytic Trend Score (0-100)]]-MIN(NBA_City_WCS[NBA Google Analytic Trend Score (0-100)]))/(MAX(NBA_City_WCS[NBA Google Analytic Trend Score (0-100)])-MIN(NBA_City_WCS[NBA Google Analytic Trend Score (0-100)])) * 100</f>
        <v>17.073170731707318</v>
      </c>
      <c r="M2" s="80">
        <f>VLOOKUP(NBA_Teams_Data[[#This Row],[City Name]],Demographic_Data_Lookup12[#All], 2, FALSE)</f>
        <v>41.8</v>
      </c>
      <c r="N2" s="85">
        <f>(NBA_City_WCS[[#This Row],[Demographic Data (15 - 44 Age Group)]]-MIN(NBA_City_WCS[Demographic Data (15 - 44 Age Group)]))/(MAX(NBA_City_WCS[Demographic Data (15 - 44 Age Group)])-MIN(NBA_City_WCS[Demographic Data (15 - 44 Age Group)])) * 100</f>
        <v>55.421686746987895</v>
      </c>
      <c r="O2">
        <v>100</v>
      </c>
      <c r="P2" s="44">
        <f>COUNTIF(Fortune_500_Companies_Lookup[City],NBA_Teams_Data[[#This Row],[City Name]])</f>
        <v>15</v>
      </c>
      <c r="Q2" s="86">
        <f>NBA_City_WCS[[#This Row],[Fortune 500 HQ''s]]/72 * 100</f>
        <v>20.833333333333336</v>
      </c>
      <c r="R2" s="13">
        <f>NBA_City_WCS[[#This Row],[Metro Population Weighted Score (20%)]]*0.2 + NBA_City_WCS[[#This Row],[Population Growth Weighted Score (15%)]]*0.15 + NBA_City_WCS[[#This Row],[Per Capita Income Weighted Score (15%)]]*0.15 + NBA_City_WCS[[#This Row],[TV Market Rank Weighted Score (10%)]]*0.1 + NBA_City_WCS[[#This Row],[Google Trend Weighted Score (10%)]]*0.1 + NBA_City_WCS[[#This Row],[Demographic Weighted Score (10%)]]*0.1 + NBA_City_WCS[[#This Row],[Arena Criteria (10%)]]*0.1 +NBA_City_WCS[[#This Row],[Fortune 500 HQ''s Score (10%)]]*0.1</f>
        <v>45.741095359389568</v>
      </c>
    </row>
    <row r="3" spans="1:18">
      <c r="A3" s="23" t="s">
        <v>89</v>
      </c>
      <c r="B3" s="17" t="s">
        <v>90</v>
      </c>
      <c r="C3" s="24">
        <f>VLOOKUP(NBA_Teams_Data[[#This Row],[City Name]],USA_Metro_Population_Lookup[],2,FALSE)</f>
        <v>5025517</v>
      </c>
      <c r="D3" s="81">
        <f>(NBA_City_WCS[[#This Row],[Metro Population 2024]]-MIN(NBA_City_WCS[Metro Population 2024]))/(MAX(NBA_City_WCS[Metro Population 2024])-MIN(NBA_City_WCS[Metro Population 2024])) * 100</f>
        <v>21.393894733247166</v>
      </c>
      <c r="E3" s="68">
        <f>VLOOKUP(NBA_Teams_Data[[#This Row],[City Name]],USA_Metro_Population_Lookup[], 3, FALSE)</f>
        <v>1.7</v>
      </c>
      <c r="F3" s="82">
        <f>(NBA_City_WCS[[#This Row],[Population Growth (% Change since 2020)]]-MIN(NBA_City_WCS[[#All],[Population Growth (% Change since 2020)]]))/(MAX(NBA_City_WCS[Population Growth (% Change since 2020)])-MIN(NBA_City_WCS[Population Growth (% Change since 2020)])) * 100</f>
        <v>41.038406827880515</v>
      </c>
      <c r="G3" s="36">
        <f>VLOOKUP(NBA_Teams_Data[[#This Row],[City Name]], Income_Data_Lookup[#All], 2, FALSE)</f>
        <v>100880</v>
      </c>
      <c r="H3" s="83">
        <f>(NBA_City_WCS[[#This Row],[Per Capita Personal Income (2023)]]-MIN(NBA_City_WCS[[#All],[Per Capita Personal Income (2023)]]))/(MAX(NBA_City_WCS[[#All],[Per Capita Personal Income (2023)]])-MIN(NBA_City_WCS[[#All],[Per Capita Personal Income (2023)]])) * 100</f>
        <v>59.210724095051994</v>
      </c>
      <c r="I3" s="17">
        <f>VLOOKUP(NBA_Teams_Data[[#This Row],[City Name]],Nielsen_TV_Market_Lookup[],2,FALSE)</f>
        <v>10</v>
      </c>
      <c r="J3" s="84">
        <f>(NBA_City_WCS[[#This Row],[Nielsen TV Market Rank]]-MAX(NBA_City_WCS[Nielsen TV Market Rank]))/(MIN(NBA_City_WCS[Nielsen TV Market Rank])-MAX(NBA_City_WCS[Nielsen TV Market Rank])) * 100</f>
        <v>82.35294117647058</v>
      </c>
      <c r="K3" s="17">
        <f>VLOOKUP(NBA_Teams_Data[[#This Row],[City Name]],Google_Trend_Score[#All], 2, FALSE)</f>
        <v>65</v>
      </c>
      <c r="L3" s="84">
        <f>(NBA_City_WCS[[#This Row],[NBA Google Analytic Trend Score (0-100)]]-MIN(NBA_City_WCS[NBA Google Analytic Trend Score (0-100)]))/(MAX(NBA_City_WCS[NBA Google Analytic Trend Score (0-100)])-MIN(NBA_City_WCS[NBA Google Analytic Trend Score (0-100)])) * 100</f>
        <v>43.902439024390247</v>
      </c>
      <c r="M3" s="50">
        <f>VLOOKUP(NBA_Teams_Data[[#This Row],[City Name]],Demographic_Data_Lookup12[#All], 2, FALSE)</f>
        <v>41.3</v>
      </c>
      <c r="N3" s="85">
        <f>(NBA_City_WCS[[#This Row],[Demographic Data (15 - 44 Age Group)]]-MIN(NBA_City_WCS[Demographic Data (15 - 44 Age Group)]))/(MAX(NBA_City_WCS[Demographic Data (15 - 44 Age Group)])-MIN(NBA_City_WCS[Demographic Data (15 - 44 Age Group)])) * 100</f>
        <v>49.397590361445729</v>
      </c>
      <c r="O3">
        <v>100</v>
      </c>
      <c r="P3" s="17">
        <f>COUNTIF(Fortune_500_Companies_Lookup[City],NBA_Teams_Data[[#This Row],[City Name]])</f>
        <v>15</v>
      </c>
      <c r="Q3" s="86">
        <f>NBA_City_WCS[[#This Row],[Fortune 500 HQ''s]]/72 * 100</f>
        <v>20.833333333333336</v>
      </c>
      <c r="R3" s="13">
        <f>NBA_City_WCS[[#This Row],[Metro Population Weighted Score (20%)]]*0.2 + NBA_City_WCS[[#This Row],[Population Growth Weighted Score (15%)]]*0.15 + NBA_City_WCS[[#This Row],[Per Capita Income Weighted Score (15%)]]*0.15 + NBA_City_WCS[[#This Row],[TV Market Rank Weighted Score (10%)]]*0.1 + NBA_City_WCS[[#This Row],[Google Trend Weighted Score (10%)]]*0.1 + NBA_City_WCS[[#This Row],[Demographic Weighted Score (10%)]]*0.1 + NBA_City_WCS[[#This Row],[Arena Criteria (10%)]]*0.1 +NBA_City_WCS[[#This Row],[Fortune 500 HQ''s Score (10%)]]*0.1</f>
        <v>48.964778974653299</v>
      </c>
    </row>
    <row r="4" spans="1:18">
      <c r="A4" s="46" t="s">
        <v>93</v>
      </c>
      <c r="B4" s="44" t="s">
        <v>94</v>
      </c>
      <c r="C4" s="59">
        <f>VLOOKUP(NBA_Teams_Data[[#This Row],[City Name]],USA_Metro_Population_Lookup[],2,FALSE)</f>
        <v>19940274</v>
      </c>
      <c r="D4" s="81">
        <f>(NBA_City_WCS[[#This Row],[Metro Population 2024]]-MIN(NBA_City_WCS[Metro Population 2024]))/(MAX(NBA_City_WCS[Metro Population 2024])-MIN(NBA_City_WCS[Metro Population 2024])) * 100</f>
        <v>100</v>
      </c>
      <c r="E4" s="78">
        <f>VLOOKUP(NBA_Teams_Data[[#This Row],[City Name]],USA_Metro_Population_Lookup[], 3, FALSE)</f>
        <v>-0.71</v>
      </c>
      <c r="F4" s="82">
        <f>(NBA_City_WCS[[#This Row],[Population Growth (% Change since 2020)]]-MIN(NBA_City_WCS[[#All],[Population Growth (% Change since 2020)]]))/(MAX(NBA_City_WCS[Population Growth (% Change since 2020)])-MIN(NBA_City_WCS[Population Growth (% Change since 2020)])) * 100</f>
        <v>23.897581792318636</v>
      </c>
      <c r="G4" s="65">
        <f>VLOOKUP(NBA_Teams_Data[[#This Row],[City Name]], Income_Data_Lookup[#All], 2, FALSE)</f>
        <v>91448</v>
      </c>
      <c r="H4" s="83">
        <f>(NBA_City_WCS[[#This Row],[Per Capita Personal Income (2023)]]-MIN(NBA_City_WCS[[#All],[Per Capita Personal Income (2023)]]))/(MAX(NBA_City_WCS[[#All],[Per Capita Personal Income (2023)]])-MIN(NBA_City_WCS[[#All],[Per Capita Personal Income (2023)]])) * 100</f>
        <v>46.322132794031241</v>
      </c>
      <c r="I4" s="44">
        <f>VLOOKUP(NBA_Teams_Data[[#This Row],[City Name]],Nielsen_TV_Market_Lookup[],2,FALSE)</f>
        <v>1</v>
      </c>
      <c r="J4" s="84">
        <f>(NBA_City_WCS[[#This Row],[Nielsen TV Market Rank]]-MAX(NBA_City_WCS[Nielsen TV Market Rank]))/(MIN(NBA_City_WCS[Nielsen TV Market Rank])-MAX(NBA_City_WCS[Nielsen TV Market Rank])) * 100</f>
        <v>100</v>
      </c>
      <c r="K4" s="44">
        <f>VLOOKUP(NBA_Teams_Data[[#This Row],[City Name]],Google_Trend_Score[#All], 2, FALSE)</f>
        <v>62</v>
      </c>
      <c r="L4" s="84">
        <f>(NBA_City_WCS[[#This Row],[NBA Google Analytic Trend Score (0-100)]]-MIN(NBA_City_WCS[NBA Google Analytic Trend Score (0-100)]))/(MAX(NBA_City_WCS[NBA Google Analytic Trend Score (0-100)])-MIN(NBA_City_WCS[NBA Google Analytic Trend Score (0-100)])) * 100</f>
        <v>36.585365853658537</v>
      </c>
      <c r="M4" s="80">
        <f>VLOOKUP(NBA_Teams_Data[[#This Row],[City Name]],Demographic_Data_Lookup12[#All], 2, FALSE)</f>
        <v>39.5</v>
      </c>
      <c r="N4" s="85">
        <f>(NBA_City_WCS[[#This Row],[Demographic Data (15 - 44 Age Group)]]-MIN(NBA_City_WCS[Demographic Data (15 - 44 Age Group)]))/(MAX(NBA_City_WCS[Demographic Data (15 - 44 Age Group)])-MIN(NBA_City_WCS[Demographic Data (15 - 44 Age Group)])) * 100</f>
        <v>27.710843373493947</v>
      </c>
      <c r="O4">
        <v>100</v>
      </c>
      <c r="P4" s="44">
        <f>COUNTIF(Fortune_500_Companies_Lookup[City],NBA_Teams_Data[[#This Row],[City Name]])</f>
        <v>72</v>
      </c>
      <c r="Q4" s="86">
        <f>NBA_City_WCS[[#This Row],[Fortune 500 HQ''s]]/72 * 100</f>
        <v>100</v>
      </c>
      <c r="R4" s="13">
        <f>NBA_City_WCS[[#This Row],[Metro Population Weighted Score (20%)]]*0.2 + NBA_City_WCS[[#This Row],[Population Growth Weighted Score (15%)]]*0.15 + NBA_City_WCS[[#This Row],[Per Capita Income Weighted Score (15%)]]*0.15 + NBA_City_WCS[[#This Row],[TV Market Rank Weighted Score (10%)]]*0.1 + NBA_City_WCS[[#This Row],[Google Trend Weighted Score (10%)]]*0.1 + NBA_City_WCS[[#This Row],[Demographic Weighted Score (10%)]]*0.1 + NBA_City_WCS[[#This Row],[Arena Criteria (10%)]]*0.1 +NBA_City_WCS[[#This Row],[Fortune 500 HQ''s Score (10%)]]*0.1</f>
        <v>66.962578110667721</v>
      </c>
    </row>
    <row r="5" spans="1:18">
      <c r="A5" s="23" t="s">
        <v>97</v>
      </c>
      <c r="B5" s="17" t="s">
        <v>98</v>
      </c>
      <c r="C5" s="24">
        <f>VLOOKUP(NBA_Teams_Data[[#This Row],[City Name]],USA_Metro_Population_Lookup[],2,FALSE)</f>
        <v>2883370</v>
      </c>
      <c r="D5" s="81">
        <f>(NBA_City_WCS[[#This Row],[Metro Population 2024]]-MIN(NBA_City_WCS[Metro Population 2024]))/(MAX(NBA_City_WCS[Metro Population 2024])-MIN(NBA_City_WCS[Metro Population 2024])) * 100</f>
        <v>10.104013672572911</v>
      </c>
      <c r="E5" s="68">
        <f>VLOOKUP(NBA_Teams_Data[[#This Row],[City Name]],USA_Metro_Population_Lookup[], 3, FALSE)</f>
        <v>8.3800000000000008</v>
      </c>
      <c r="F5" s="82">
        <f>(NBA_City_WCS[[#This Row],[Population Growth (% Change since 2020)]]-MIN(NBA_City_WCS[[#All],[Population Growth (% Change since 2020)]]))/(MAX(NBA_City_WCS[Population Growth (% Change since 2020)])-MIN(NBA_City_WCS[Population Growth (% Change since 2020)])) * 100</f>
        <v>88.549075391180651</v>
      </c>
      <c r="G5" s="36">
        <f>VLOOKUP(NBA_Teams_Data[[#This Row],[City Name]], Income_Data_Lookup[#All], 2, FALSE)</f>
        <v>69588</v>
      </c>
      <c r="H5" s="83">
        <f>(NBA_City_WCS[[#This Row],[Per Capita Personal Income (2023)]]-MIN(NBA_City_WCS[[#All],[Per Capita Personal Income (2023)]]))/(MAX(NBA_City_WCS[[#All],[Per Capita Personal Income (2023)]])-MIN(NBA_City_WCS[[#All],[Per Capita Personal Income (2023)]])) * 100</f>
        <v>16.45099137754335</v>
      </c>
      <c r="I5" s="17">
        <f>VLOOKUP(NBA_Teams_Data[[#This Row],[City Name]],Nielsen_TV_Market_Lookup[],2,FALSE)</f>
        <v>22</v>
      </c>
      <c r="J5" s="84">
        <f>(NBA_City_WCS[[#This Row],[Nielsen TV Market Rank]]-MAX(NBA_City_WCS[Nielsen TV Market Rank]))/(MIN(NBA_City_WCS[Nielsen TV Market Rank])-MAX(NBA_City_WCS[Nielsen TV Market Rank])) * 100</f>
        <v>58.82352941176471</v>
      </c>
      <c r="K5" s="17">
        <f>VLOOKUP(NBA_Teams_Data[[#This Row],[City Name]],Google_Trend_Score[#All], 2, FALSE)</f>
        <v>52</v>
      </c>
      <c r="L5" s="84">
        <f>(NBA_City_WCS[[#This Row],[NBA Google Analytic Trend Score (0-100)]]-MIN(NBA_City_WCS[NBA Google Analytic Trend Score (0-100)]))/(MAX(NBA_City_WCS[NBA Google Analytic Trend Score (0-100)])-MIN(NBA_City_WCS[NBA Google Analytic Trend Score (0-100)])) * 100</f>
        <v>12.195121951219512</v>
      </c>
      <c r="M5" s="50">
        <f>VLOOKUP(NBA_Teams_Data[[#This Row],[City Name]],Demographic_Data_Lookup12[#All], 2, FALSE)</f>
        <v>40.9</v>
      </c>
      <c r="N5" s="85">
        <f>(NBA_City_WCS[[#This Row],[Demographic Data (15 - 44 Age Group)]]-MIN(NBA_City_WCS[Demographic Data (15 - 44 Age Group)]))/(MAX(NBA_City_WCS[Demographic Data (15 - 44 Age Group)])-MIN(NBA_City_WCS[Demographic Data (15 - 44 Age Group)])) * 100</f>
        <v>44.578313253012013</v>
      </c>
      <c r="O5">
        <v>100</v>
      </c>
      <c r="P5" s="17">
        <f>COUNTIF(Fortune_500_Companies_Lookup[City],NBA_Teams_Data[[#This Row],[City Name]])</f>
        <v>7</v>
      </c>
      <c r="Q5" s="86">
        <f>NBA_City_WCS[[#This Row],[Fortune 500 HQ''s]]/72 * 100</f>
        <v>9.7222222222222232</v>
      </c>
      <c r="R5" s="13">
        <f>NBA_City_WCS[[#This Row],[Metro Population Weighted Score (20%)]]*0.2 + NBA_City_WCS[[#This Row],[Population Growth Weighted Score (15%)]]*0.15 + NBA_City_WCS[[#This Row],[Per Capita Income Weighted Score (15%)]]*0.15 + NBA_City_WCS[[#This Row],[TV Market Rank Weighted Score (10%)]]*0.1 + NBA_City_WCS[[#This Row],[Google Trend Weighted Score (10%)]]*0.1 + NBA_City_WCS[[#This Row],[Demographic Weighted Score (10%)]]*0.1 + NBA_City_WCS[[#This Row],[Arena Criteria (10%)]]*0.1 +NBA_City_WCS[[#This Row],[Fortune 500 HQ''s Score (10%)]]*0.1</f>
        <v>40.302731433645029</v>
      </c>
    </row>
    <row r="6" spans="1:18">
      <c r="A6" s="46" t="s">
        <v>101</v>
      </c>
      <c r="B6" s="44" t="s">
        <v>102</v>
      </c>
      <c r="C6" s="59">
        <f>VLOOKUP(NBA_Teams_Data[[#This Row],[City Name]],USA_Metro_Population_Lookup[],2,FALSE)</f>
        <v>9408576</v>
      </c>
      <c r="D6" s="81">
        <f>(NBA_City_WCS[[#This Row],[Metro Population 2024]]-MIN(NBA_City_WCS[Metro Population 2024]))/(MAX(NBA_City_WCS[Metro Population 2024])-MIN(NBA_City_WCS[Metro Population 2024])) * 100</f>
        <v>44.4941837385852</v>
      </c>
      <c r="E6" s="78">
        <f>VLOOKUP(NBA_Teams_Data[[#This Row],[City Name]],USA_Metro_Population_Lookup[], 3, FALSE)</f>
        <v>-0.43</v>
      </c>
      <c r="F6" s="82">
        <f>(NBA_City_WCS[[#This Row],[Population Growth (% Change since 2020)]]-MIN(NBA_City_WCS[[#All],[Population Growth (% Change since 2020)]]))/(MAX(NBA_City_WCS[Population Growth (% Change since 2020)])-MIN(NBA_City_WCS[Population Growth (% Change since 2020)])) * 100</f>
        <v>25.889046941678522</v>
      </c>
      <c r="G6" s="65">
        <f>VLOOKUP(NBA_Teams_Data[[#This Row],[City Name]], Income_Data_Lookup[#All], 2, FALSE)</f>
        <v>77429</v>
      </c>
      <c r="H6" s="83">
        <f>(NBA_City_WCS[[#This Row],[Per Capita Personal Income (2023)]]-MIN(NBA_City_WCS[[#All],[Per Capita Personal Income (2023)]]))/(MAX(NBA_City_WCS[[#All],[Per Capita Personal Income (2023)]])-MIN(NBA_City_WCS[[#All],[Per Capita Personal Income (2023)]])) * 100</f>
        <v>27.165521105204903</v>
      </c>
      <c r="I6" s="44">
        <f>VLOOKUP(NBA_Teams_Data[[#This Row],[City Name]],Nielsen_TV_Market_Lookup[],2,FALSE)</f>
        <v>3</v>
      </c>
      <c r="J6" s="84">
        <f>(NBA_City_WCS[[#This Row],[Nielsen TV Market Rank]]-MAX(NBA_City_WCS[Nielsen TV Market Rank]))/(MIN(NBA_City_WCS[Nielsen TV Market Rank])-MAX(NBA_City_WCS[Nielsen TV Market Rank])) * 100</f>
        <v>96.078431372549019</v>
      </c>
      <c r="K6" s="44">
        <f>VLOOKUP(NBA_Teams_Data[[#This Row],[City Name]],Google_Trend_Score[#All], 2, FALSE)</f>
        <v>65</v>
      </c>
      <c r="L6" s="84">
        <f>(NBA_City_WCS[[#This Row],[NBA Google Analytic Trend Score (0-100)]]-MIN(NBA_City_WCS[NBA Google Analytic Trend Score (0-100)]))/(MAX(NBA_City_WCS[NBA Google Analytic Trend Score (0-100)])-MIN(NBA_City_WCS[NBA Google Analytic Trend Score (0-100)])) * 100</f>
        <v>43.902439024390247</v>
      </c>
      <c r="M6" s="80">
        <f>VLOOKUP(NBA_Teams_Data[[#This Row],[City Name]],Demographic_Data_Lookup12[#All], 2, FALSE)</f>
        <v>40.6</v>
      </c>
      <c r="N6" s="85">
        <f>(NBA_City_WCS[[#This Row],[Demographic Data (15 - 44 Age Group)]]-MIN(NBA_City_WCS[Demographic Data (15 - 44 Age Group)]))/(MAX(NBA_City_WCS[Demographic Data (15 - 44 Age Group)])-MIN(NBA_City_WCS[Demographic Data (15 - 44 Age Group)])) * 100</f>
        <v>40.963855421686745</v>
      </c>
      <c r="O6">
        <v>100</v>
      </c>
      <c r="P6" s="44">
        <f>COUNTIF(Fortune_500_Companies_Lookup[City],NBA_Teams_Data[[#This Row],[City Name]])</f>
        <v>30</v>
      </c>
      <c r="Q6" s="86">
        <f>NBA_City_WCS[[#This Row],[Fortune 500 HQ''s]]/72 * 100</f>
        <v>41.666666666666671</v>
      </c>
      <c r="R6" s="13">
        <f>NBA_City_WCS[[#This Row],[Metro Population Weighted Score (20%)]]*0.2 + NBA_City_WCS[[#This Row],[Population Growth Weighted Score (15%)]]*0.15 + NBA_City_WCS[[#This Row],[Per Capita Income Weighted Score (15%)]]*0.15 + NBA_City_WCS[[#This Row],[TV Market Rank Weighted Score (10%)]]*0.1 + NBA_City_WCS[[#This Row],[Google Trend Weighted Score (10%)]]*0.1 + NBA_City_WCS[[#This Row],[Demographic Weighted Score (10%)]]*0.1 + NBA_City_WCS[[#This Row],[Arena Criteria (10%)]]*0.1 +NBA_City_WCS[[#This Row],[Fortune 500 HQ''s Score (10%)]]*0.1</f>
        <v>49.118161203278824</v>
      </c>
    </row>
    <row r="7" spans="1:18">
      <c r="A7" s="23" t="s">
        <v>105</v>
      </c>
      <c r="B7" s="17" t="s">
        <v>106</v>
      </c>
      <c r="C7" s="24">
        <f>VLOOKUP(NBA_Teams_Data[[#This Row],[City Name]],USA_Metro_Population_Lookup[],2,FALSE)</f>
        <v>2171877</v>
      </c>
      <c r="D7" s="81">
        <f>(NBA_City_WCS[[#This Row],[Metro Population 2024]]-MIN(NBA_City_WCS[Metro Population 2024]))/(MAX(NBA_City_WCS[Metro Population 2024])-MIN(NBA_City_WCS[Metro Population 2024])) * 100</f>
        <v>6.3541910201114744</v>
      </c>
      <c r="E7" s="68">
        <f>VLOOKUP(NBA_Teams_Data[[#This Row],[City Name]],USA_Metro_Population_Lookup[], 3, FALSE)</f>
        <v>-0.64</v>
      </c>
      <c r="F7" s="82">
        <f>(NBA_City_WCS[[#This Row],[Population Growth (% Change since 2020)]]-MIN(NBA_City_WCS[[#All],[Population Growth (% Change since 2020)]]))/(MAX(NBA_City_WCS[Population Growth (% Change since 2020)])-MIN(NBA_City_WCS[Population Growth (% Change since 2020)])) * 100</f>
        <v>24.395448079658607</v>
      </c>
      <c r="G7" s="36">
        <f>VLOOKUP(NBA_Teams_Data[[#This Row],[City Name]], Income_Data_Lookup[#All], 2, FALSE)</f>
        <v>67451</v>
      </c>
      <c r="H7" s="83">
        <f>(NBA_City_WCS[[#This Row],[Per Capita Personal Income (2023)]]-MIN(NBA_City_WCS[[#All],[Per Capita Personal Income (2023)]]))/(MAX(NBA_City_WCS[[#All],[Per Capita Personal Income (2023)]])-MIN(NBA_City_WCS[[#All],[Per Capita Personal Income (2023)]])) * 100</f>
        <v>13.530834506224293</v>
      </c>
      <c r="I7" s="17">
        <f>VLOOKUP(NBA_Teams_Data[[#This Row],[City Name]],Nielsen_TV_Market_Lookup[],2,FALSE)</f>
        <v>20</v>
      </c>
      <c r="J7" s="84">
        <f>(NBA_City_WCS[[#This Row],[Nielsen TV Market Rank]]-MAX(NBA_City_WCS[Nielsen TV Market Rank]))/(MIN(NBA_City_WCS[Nielsen TV Market Rank])-MAX(NBA_City_WCS[Nielsen TV Market Rank])) * 100</f>
        <v>62.745098039215684</v>
      </c>
      <c r="K7" s="17">
        <f>VLOOKUP(NBA_Teams_Data[[#This Row],[City Name]],Google_Trend_Score[#All], 2, FALSE)</f>
        <v>75</v>
      </c>
      <c r="L7" s="84">
        <f>(NBA_City_WCS[[#This Row],[NBA Google Analytic Trend Score (0-100)]]-MIN(NBA_City_WCS[NBA Google Analytic Trend Score (0-100)]))/(MAX(NBA_City_WCS[NBA Google Analytic Trend Score (0-100)])-MIN(NBA_City_WCS[NBA Google Analytic Trend Score (0-100)])) * 100</f>
        <v>68.292682926829272</v>
      </c>
      <c r="M7" s="50">
        <f>VLOOKUP(NBA_Teams_Data[[#This Row],[City Name]],Demographic_Data_Lookup12[#All], 2, FALSE)</f>
        <v>37.200000000000003</v>
      </c>
      <c r="N7" s="85">
        <f>(NBA_City_WCS[[#This Row],[Demographic Data (15 - 44 Age Group)]]-MIN(NBA_City_WCS[Demographic Data (15 - 44 Age Group)]))/(MAX(NBA_City_WCS[Demographic Data (15 - 44 Age Group)])-MIN(NBA_City_WCS[Demographic Data (15 - 44 Age Group)])) * 100</f>
        <v>0</v>
      </c>
      <c r="O7">
        <v>100</v>
      </c>
      <c r="P7" s="17">
        <f>COUNTIF(Fortune_500_Companies_Lookup[City],NBA_Teams_Data[[#This Row],[City Name]])</f>
        <v>9</v>
      </c>
      <c r="Q7" s="86">
        <f>NBA_City_WCS[[#This Row],[Fortune 500 HQ''s]]/72 * 100</f>
        <v>12.5</v>
      </c>
      <c r="R7" s="13">
        <f>NBA_City_WCS[[#This Row],[Metro Population Weighted Score (20%)]]*0.2 + NBA_City_WCS[[#This Row],[Population Growth Weighted Score (15%)]]*0.15 + NBA_City_WCS[[#This Row],[Per Capita Income Weighted Score (15%)]]*0.15 + NBA_City_WCS[[#This Row],[TV Market Rank Weighted Score (10%)]]*0.1 + NBA_City_WCS[[#This Row],[Google Trend Weighted Score (10%)]]*0.1 + NBA_City_WCS[[#This Row],[Demographic Weighted Score (10%)]]*0.1 + NBA_City_WCS[[#This Row],[Arena Criteria (10%)]]*0.1 +NBA_City_WCS[[#This Row],[Fortune 500 HQ''s Score (10%)]]*0.1</f>
        <v>31.313558688509225</v>
      </c>
    </row>
    <row r="8" spans="1:18">
      <c r="A8" s="46" t="s">
        <v>109</v>
      </c>
      <c r="B8" s="44" t="s">
        <v>110</v>
      </c>
      <c r="C8" s="59">
        <f>VLOOKUP(NBA_Teams_Data[[#This Row],[City Name]],USA_Metro_Population_Lookup[],2,FALSE)</f>
        <v>8344032</v>
      </c>
      <c r="D8" s="81">
        <f>(NBA_City_WCS[[#This Row],[Metro Population 2024]]-MIN(NBA_City_WCS[Metro Population 2024]))/(MAX(NBA_City_WCS[Metro Population 2024])-MIN(NBA_City_WCS[Metro Population 2024])) * 100</f>
        <v>38.883656009230293</v>
      </c>
      <c r="E8" s="78">
        <f>VLOOKUP(NBA_Teams_Data[[#This Row],[City Name]],USA_Metro_Population_Lookup[], 3, FALSE)</f>
        <v>9.25</v>
      </c>
      <c r="F8" s="82">
        <f>(NBA_City_WCS[[#This Row],[Population Growth (% Change since 2020)]]-MIN(NBA_City_WCS[[#All],[Population Growth (% Change since 2020)]]))/(MAX(NBA_City_WCS[Population Growth (% Change since 2020)])-MIN(NBA_City_WCS[Population Growth (% Change since 2020)])) * 100</f>
        <v>94.73684210526315</v>
      </c>
      <c r="G8" s="65">
        <f>VLOOKUP(NBA_Teams_Data[[#This Row],[City Name]], Income_Data_Lookup[#All], 2, FALSE)</f>
        <v>74165</v>
      </c>
      <c r="H8" s="83">
        <f>(NBA_City_WCS[[#This Row],[Per Capita Personal Income (2023)]]-MIN(NBA_City_WCS[[#All],[Per Capita Personal Income (2023)]]))/(MAX(NBA_City_WCS[[#All],[Per Capita Personal Income (2023)]])-MIN(NBA_City_WCS[[#All],[Per Capita Personal Income (2023)]])) * 100</f>
        <v>22.705347016302046</v>
      </c>
      <c r="I8" s="44">
        <f>VLOOKUP(NBA_Teams_Data[[#This Row],[City Name]],Nielsen_TV_Market_Lookup[],2,FALSE)</f>
        <v>4</v>
      </c>
      <c r="J8" s="84">
        <f>(NBA_City_WCS[[#This Row],[Nielsen TV Market Rank]]-MAX(NBA_City_WCS[Nielsen TV Market Rank]))/(MIN(NBA_City_WCS[Nielsen TV Market Rank])-MAX(NBA_City_WCS[Nielsen TV Market Rank])) * 100</f>
        <v>94.117647058823522</v>
      </c>
      <c r="K8" s="44">
        <f>VLOOKUP(NBA_Teams_Data[[#This Row],[City Name]],Google_Trend_Score[#All], 2, FALSE)</f>
        <v>57</v>
      </c>
      <c r="L8" s="84">
        <f>(NBA_City_WCS[[#This Row],[NBA Google Analytic Trend Score (0-100)]]-MIN(NBA_City_WCS[NBA Google Analytic Trend Score (0-100)]))/(MAX(NBA_City_WCS[NBA Google Analytic Trend Score (0-100)])-MIN(NBA_City_WCS[NBA Google Analytic Trend Score (0-100)])) * 100</f>
        <v>24.390243902439025</v>
      </c>
      <c r="M8" s="80">
        <f>VLOOKUP(NBA_Teams_Data[[#This Row],[City Name]],Demographic_Data_Lookup12[#All], 2, FALSE)</f>
        <v>43.2</v>
      </c>
      <c r="N8" s="85">
        <f>(NBA_City_WCS[[#This Row],[Demographic Data (15 - 44 Age Group)]]-MIN(NBA_City_WCS[Demographic Data (15 - 44 Age Group)]))/(MAX(NBA_City_WCS[Demographic Data (15 - 44 Age Group)])-MIN(NBA_City_WCS[Demographic Data (15 - 44 Age Group)])) * 100</f>
        <v>72.289156626506042</v>
      </c>
      <c r="O8">
        <v>100</v>
      </c>
      <c r="P8" s="44">
        <f>COUNTIF(Fortune_500_Companies_Lookup[City],NBA_Teams_Data[[#This Row],[City Name]])</f>
        <v>21</v>
      </c>
      <c r="Q8" s="86">
        <f>NBA_City_WCS[[#This Row],[Fortune 500 HQ''s]]/72 * 100</f>
        <v>29.166666666666668</v>
      </c>
      <c r="R8" s="13">
        <f>NBA_City_WCS[[#This Row],[Metro Population Weighted Score (20%)]]*0.2 + NBA_City_WCS[[#This Row],[Population Growth Weighted Score (15%)]]*0.15 + NBA_City_WCS[[#This Row],[Per Capita Income Weighted Score (15%)]]*0.15 + NBA_City_WCS[[#This Row],[TV Market Rank Weighted Score (10%)]]*0.1 + NBA_City_WCS[[#This Row],[Google Trend Weighted Score (10%)]]*0.1 + NBA_City_WCS[[#This Row],[Demographic Weighted Score (10%)]]*0.1 + NBA_City_WCS[[#This Row],[Arena Criteria (10%)]]*0.1 +NBA_City_WCS[[#This Row],[Fortune 500 HQ''s Score (10%)]]*0.1</f>
        <v>57.389430995524364</v>
      </c>
    </row>
    <row r="9" spans="1:18">
      <c r="A9" s="23" t="s">
        <v>113</v>
      </c>
      <c r="B9" s="17" t="s">
        <v>114</v>
      </c>
      <c r="C9" s="24">
        <f>VLOOKUP(NBA_Teams_Data[[#This Row],[City Name]],USA_Metro_Population_Lookup[],2,FALSE)</f>
        <v>3052498</v>
      </c>
      <c r="D9" s="81">
        <f>(NBA_City_WCS[[#This Row],[Metro Population 2024]]-MIN(NBA_City_WCS[Metro Population 2024]))/(MAX(NBA_City_WCS[Metro Population 2024])-MIN(NBA_City_WCS[Metro Population 2024])) * 100</f>
        <v>10.995378739503291</v>
      </c>
      <c r="E9" s="68">
        <f>VLOOKUP(NBA_Teams_Data[[#This Row],[City Name]],USA_Metro_Population_Lookup[], 3, FALSE)</f>
        <v>2.99</v>
      </c>
      <c r="F9" s="82">
        <f>(NBA_City_WCS[[#This Row],[Population Growth (% Change since 2020)]]-MIN(NBA_City_WCS[[#All],[Population Growth (% Change since 2020)]]))/(MAX(NBA_City_WCS[Population Growth (% Change since 2020)])-MIN(NBA_City_WCS[Population Growth (% Change since 2020)])) * 100</f>
        <v>50.213371266002852</v>
      </c>
      <c r="G9" s="36">
        <f>VLOOKUP(NBA_Teams_Data[[#This Row],[City Name]], Income_Data_Lookup[#All], 2, FALSE)</f>
        <v>89297</v>
      </c>
      <c r="H9" s="83">
        <f>(NBA_City_WCS[[#This Row],[Per Capita Personal Income (2023)]]-MIN(NBA_City_WCS[[#All],[Per Capita Personal Income (2023)]]))/(MAX(NBA_City_WCS[[#All],[Per Capita Personal Income (2023)]])-MIN(NBA_City_WCS[[#All],[Per Capita Personal Income (2023)]])) * 100</f>
        <v>43.382845274046545</v>
      </c>
      <c r="I9" s="17">
        <f>VLOOKUP(NBA_Teams_Data[[#This Row],[City Name]],Nielsen_TV_Market_Lookup[],2,FALSE)</f>
        <v>18</v>
      </c>
      <c r="J9" s="84">
        <f>(NBA_City_WCS[[#This Row],[Nielsen TV Market Rank]]-MAX(NBA_City_WCS[Nielsen TV Market Rank]))/(MIN(NBA_City_WCS[Nielsen TV Market Rank])-MAX(NBA_City_WCS[Nielsen TV Market Rank])) * 100</f>
        <v>66.666666666666657</v>
      </c>
      <c r="K9" s="17">
        <f>VLOOKUP(NBA_Teams_Data[[#This Row],[City Name]],Google_Trend_Score[#All], 2, FALSE)</f>
        <v>57</v>
      </c>
      <c r="L9" s="84">
        <f>(NBA_City_WCS[[#This Row],[NBA Google Analytic Trend Score (0-100)]]-MIN(NBA_City_WCS[NBA Google Analytic Trend Score (0-100)]))/(MAX(NBA_City_WCS[NBA Google Analytic Trend Score (0-100)])-MIN(NBA_City_WCS[NBA Google Analytic Trend Score (0-100)])) * 100</f>
        <v>24.390243902439025</v>
      </c>
      <c r="M9" s="50">
        <f>VLOOKUP(NBA_Teams_Data[[#This Row],[City Name]],Demographic_Data_Lookup12[#All], 2, FALSE)</f>
        <v>44.7</v>
      </c>
      <c r="N9" s="85">
        <f>(NBA_City_WCS[[#This Row],[Demographic Data (15 - 44 Age Group)]]-MIN(NBA_City_WCS[Demographic Data (15 - 44 Age Group)]))/(MAX(NBA_City_WCS[Demographic Data (15 - 44 Age Group)])-MIN(NBA_City_WCS[Demographic Data (15 - 44 Age Group)])) * 100</f>
        <v>90.361445783132567</v>
      </c>
      <c r="O9">
        <v>100</v>
      </c>
      <c r="P9" s="17">
        <f>COUNTIF(Fortune_500_Companies_Lookup[City],NBA_Teams_Data[[#This Row],[City Name]])</f>
        <v>8</v>
      </c>
      <c r="Q9" s="86">
        <f>NBA_City_WCS[[#This Row],[Fortune 500 HQ''s]]/72 * 100</f>
        <v>11.111111111111111</v>
      </c>
      <c r="R9" s="13">
        <f>NBA_City_WCS[[#This Row],[Metro Population Weighted Score (20%)]]*0.2 + NBA_City_WCS[[#This Row],[Population Growth Weighted Score (15%)]]*0.15 + NBA_City_WCS[[#This Row],[Per Capita Income Weighted Score (15%)]]*0.15 + NBA_City_WCS[[#This Row],[TV Market Rank Weighted Score (10%)]]*0.1 + NBA_City_WCS[[#This Row],[Google Trend Weighted Score (10%)]]*0.1 + NBA_City_WCS[[#This Row],[Demographic Weighted Score (10%)]]*0.1 + NBA_City_WCS[[#This Row],[Arena Criteria (10%)]]*0.1 +NBA_City_WCS[[#This Row],[Fortune 500 HQ''s Score (10%)]]*0.1</f>
        <v>45.491454975243002</v>
      </c>
    </row>
    <row r="10" spans="1:18">
      <c r="A10" s="46" t="s">
        <v>117</v>
      </c>
      <c r="B10" s="44" t="s">
        <v>118</v>
      </c>
      <c r="C10" s="59">
        <f>VLOOKUP(NBA_Teams_Data[[#This Row],[City Name]],USA_Metro_Population_Lookup[],2,FALSE)</f>
        <v>4400578</v>
      </c>
      <c r="D10" s="81">
        <f>(NBA_City_WCS[[#This Row],[Metro Population 2024]]-MIN(NBA_City_WCS[Metro Population 2024]))/(MAX(NBA_City_WCS[Metro Population 2024])-MIN(NBA_City_WCS[Metro Population 2024])) * 100</f>
        <v>18.100242626189758</v>
      </c>
      <c r="E10" s="78">
        <f>VLOOKUP(NBA_Teams_Data[[#This Row],[City Name]],USA_Metro_Population_Lookup[], 3, FALSE)</f>
        <v>0.19</v>
      </c>
      <c r="F10" s="82">
        <f>(NBA_City_WCS[[#This Row],[Population Growth (% Change since 2020)]]-MIN(NBA_City_WCS[[#All],[Population Growth (% Change since 2020)]]))/(MAX(NBA_City_WCS[Population Growth (% Change since 2020)])-MIN(NBA_City_WCS[Population Growth (% Change since 2020)])) * 100</f>
        <v>30.298719772403988</v>
      </c>
      <c r="G10" s="65">
        <f>VLOOKUP(NBA_Teams_Data[[#This Row],[City Name]], Income_Data_Lookup[#All], 2, FALSE)</f>
        <v>66098</v>
      </c>
      <c r="H10" s="83">
        <f>(NBA_City_WCS[[#This Row],[Per Capita Personal Income (2023)]]-MIN(NBA_City_WCS[[#All],[Per Capita Personal Income (2023)]]))/(MAX(NBA_City_WCS[[#All],[Per Capita Personal Income (2023)]])-MIN(NBA_City_WCS[[#All],[Per Capita Personal Income (2023)]])) * 100</f>
        <v>11.681993960180922</v>
      </c>
      <c r="I10" s="44">
        <f>VLOOKUP(NBA_Teams_Data[[#This Row],[City Name]],Nielsen_TV_Market_Lookup[],2,FALSE)</f>
        <v>15</v>
      </c>
      <c r="J10" s="84">
        <f>(NBA_City_WCS[[#This Row],[Nielsen TV Market Rank]]-MAX(NBA_City_WCS[Nielsen TV Market Rank]))/(MIN(NBA_City_WCS[Nielsen TV Market Rank])-MAX(NBA_City_WCS[Nielsen TV Market Rank])) * 100</f>
        <v>72.549019607843135</v>
      </c>
      <c r="K10" s="44">
        <f>VLOOKUP(NBA_Teams_Data[[#This Row],[City Name]],Google_Trend_Score[#All], 2, FALSE)</f>
        <v>58</v>
      </c>
      <c r="L10" s="84">
        <f>(NBA_City_WCS[[#This Row],[NBA Google Analytic Trend Score (0-100)]]-MIN(NBA_City_WCS[NBA Google Analytic Trend Score (0-100)]))/(MAX(NBA_City_WCS[NBA Google Analytic Trend Score (0-100)])-MIN(NBA_City_WCS[NBA Google Analytic Trend Score (0-100)])) * 100</f>
        <v>26.829268292682929</v>
      </c>
      <c r="M10" s="80">
        <f>VLOOKUP(NBA_Teams_Data[[#This Row],[City Name]],Demographic_Data_Lookup12[#All], 2, FALSE)</f>
        <v>37.9</v>
      </c>
      <c r="N10" s="85">
        <f>(NBA_City_WCS[[#This Row],[Demographic Data (15 - 44 Age Group)]]-MIN(NBA_City_WCS[Demographic Data (15 - 44 Age Group)]))/(MAX(NBA_City_WCS[Demographic Data (15 - 44 Age Group)])-MIN(NBA_City_WCS[Demographic Data (15 - 44 Age Group)])) * 100</f>
        <v>8.4337349397589882</v>
      </c>
      <c r="O10">
        <v>100</v>
      </c>
      <c r="P10" s="44">
        <f>COUNTIF(Fortune_500_Companies_Lookup[City],NBA_Teams_Data[[#This Row],[City Name]])</f>
        <v>9</v>
      </c>
      <c r="Q10" s="86">
        <f>NBA_City_WCS[[#This Row],[Fortune 500 HQ''s]]/72 * 100</f>
        <v>12.5</v>
      </c>
      <c r="R10" s="13">
        <f>NBA_City_WCS[[#This Row],[Metro Population Weighted Score (20%)]]*0.2 + NBA_City_WCS[[#This Row],[Population Growth Weighted Score (15%)]]*0.15 + NBA_City_WCS[[#This Row],[Per Capita Income Weighted Score (15%)]]*0.15 + NBA_City_WCS[[#This Row],[TV Market Rank Weighted Score (10%)]]*0.1 + NBA_City_WCS[[#This Row],[Google Trend Weighted Score (10%)]]*0.1 + NBA_City_WCS[[#This Row],[Demographic Weighted Score (10%)]]*0.1 + NBA_City_WCS[[#This Row],[Arena Criteria (10%)]]*0.1 +NBA_City_WCS[[#This Row],[Fortune 500 HQ''s Score (10%)]]*0.1</f>
        <v>31.948357869154197</v>
      </c>
    </row>
    <row r="11" spans="1:18">
      <c r="A11" s="23" t="s">
        <v>121</v>
      </c>
      <c r="B11" s="17" t="s">
        <v>122</v>
      </c>
      <c r="C11" s="24">
        <f>VLOOKUP(NBA_Teams_Data[[#This Row],[City Name]],USA_Metro_Population_Lookup[],2,FALSE)</f>
        <v>6643970</v>
      </c>
      <c r="D11" s="81">
        <f>(NBA_City_WCS[[#This Row],[Metro Population 2024]]-MIN(NBA_City_WCS[Metro Population 2024]))/(MAX(NBA_City_WCS[Metro Population 2024])-MIN(NBA_City_WCS[Metro Population 2024])) * 100</f>
        <v>29.923721058093889</v>
      </c>
      <c r="E11" s="68">
        <f>VLOOKUP(NBA_Teams_Data[[#This Row],[City Name]],USA_Metro_Population_Lookup[], 3, FALSE)</f>
        <v>-2.12</v>
      </c>
      <c r="F11" s="82">
        <f>(NBA_City_WCS[[#This Row],[Population Growth (% Change since 2020)]]-MIN(NBA_City_WCS[[#All],[Population Growth (% Change since 2020)]]))/(MAX(NBA_City_WCS[Population Growth (% Change since 2020)])-MIN(NBA_City_WCS[Population Growth (% Change since 2020)])) * 100</f>
        <v>13.869132290184922</v>
      </c>
      <c r="G11" s="36">
        <f>VLOOKUP(NBA_Teams_Data[[#This Row],[City Name]], Income_Data_Lookup[#All], 2, FALSE)</f>
        <v>130730</v>
      </c>
      <c r="H11" s="83">
        <f>(NBA_City_WCS[[#This Row],[Per Capita Personal Income (2023)]]-MIN(NBA_City_WCS[[#All],[Per Capita Personal Income (2023)]]))/(MAX(NBA_City_WCS[[#All],[Per Capita Personal Income (2023)]])-MIN(NBA_City_WCS[[#All],[Per Capita Personal Income (2023)]])) * 100</f>
        <v>100</v>
      </c>
      <c r="I11" s="17">
        <f>VLOOKUP(NBA_Teams_Data[[#This Row],[City Name]],Nielsen_TV_Market_Lookup[],2,FALSE)</f>
        <v>11</v>
      </c>
      <c r="J11" s="84">
        <f>(NBA_City_WCS[[#This Row],[Nielsen TV Market Rank]]-MAX(NBA_City_WCS[Nielsen TV Market Rank]))/(MIN(NBA_City_WCS[Nielsen TV Market Rank])-MAX(NBA_City_WCS[Nielsen TV Market Rank])) * 100</f>
        <v>80.392156862745097</v>
      </c>
      <c r="K11" s="17">
        <f>VLOOKUP(NBA_Teams_Data[[#This Row],[City Name]],Google_Trend_Score[#All], 2, FALSE)</f>
        <v>81</v>
      </c>
      <c r="L11" s="84">
        <f>(NBA_City_WCS[[#This Row],[NBA Google Analytic Trend Score (0-100)]]-MIN(NBA_City_WCS[NBA Google Analytic Trend Score (0-100)]))/(MAX(NBA_City_WCS[NBA Google Analytic Trend Score (0-100)])-MIN(NBA_City_WCS[NBA Google Analytic Trend Score (0-100)])) * 100</f>
        <v>82.926829268292678</v>
      </c>
      <c r="M11" s="50">
        <f>VLOOKUP(NBA_Teams_Data[[#This Row],[City Name]],Demographic_Data_Lookup12[#All], 2, FALSE)</f>
        <v>40.700000000000003</v>
      </c>
      <c r="N11" s="85">
        <f>(NBA_City_WCS[[#This Row],[Demographic Data (15 - 44 Age Group)]]-MIN(NBA_City_WCS[Demographic Data (15 - 44 Age Group)]))/(MAX(NBA_City_WCS[Demographic Data (15 - 44 Age Group)])-MIN(NBA_City_WCS[Demographic Data (15 - 44 Age Group)])) * 100</f>
        <v>42.168674698795193</v>
      </c>
      <c r="O11">
        <v>100</v>
      </c>
      <c r="P11" s="17">
        <f>COUNTIF(Fortune_500_Companies_Lookup[City],NBA_Teams_Data[[#This Row],[City Name]])</f>
        <v>41</v>
      </c>
      <c r="Q11" s="86">
        <f>NBA_City_WCS[[#This Row],[Fortune 500 HQ''s]]/72 * 100</f>
        <v>56.944444444444443</v>
      </c>
      <c r="R11" s="13">
        <f>NBA_City_WCS[[#This Row],[Metro Population Weighted Score (20%)]]*0.2 + NBA_City_WCS[[#This Row],[Population Growth Weighted Score (15%)]]*0.15 + NBA_City_WCS[[#This Row],[Per Capita Income Weighted Score (15%)]]*0.15 + NBA_City_WCS[[#This Row],[TV Market Rank Weighted Score (10%)]]*0.1 + NBA_City_WCS[[#This Row],[Google Trend Weighted Score (10%)]]*0.1 + NBA_City_WCS[[#This Row],[Demographic Weighted Score (10%)]]*0.1 + NBA_City_WCS[[#This Row],[Arena Criteria (10%)]]*0.1 +NBA_City_WCS[[#This Row],[Fortune 500 HQ''s Score (10%)]]*0.1</f>
        <v>59.308324582574258</v>
      </c>
    </row>
    <row r="12" spans="1:18">
      <c r="A12" s="46" t="s">
        <v>125</v>
      </c>
      <c r="B12" s="44" t="s">
        <v>126</v>
      </c>
      <c r="C12" s="59">
        <f>VLOOKUP(NBA_Teams_Data[[#This Row],[City Name]],USA_Metro_Population_Lookup[],2,FALSE)</f>
        <v>7796182</v>
      </c>
      <c r="D12" s="81">
        <f>(NBA_City_WCS[[#This Row],[Metro Population 2024]]-MIN(NBA_City_WCS[Metro Population 2024]))/(MAX(NBA_City_WCS[Metro Population 2024])-MIN(NBA_City_WCS[Metro Population 2024])) * 100</f>
        <v>35.996290511395465</v>
      </c>
      <c r="E12" s="78">
        <f>VLOOKUP(NBA_Teams_Data[[#This Row],[City Name]],USA_Metro_Population_Lookup[], 3, FALSE)</f>
        <v>9.0399999999999991</v>
      </c>
      <c r="F12" s="82">
        <f>(NBA_City_WCS[[#This Row],[Population Growth (% Change since 2020)]]-MIN(NBA_City_WCS[[#All],[Population Growth (% Change since 2020)]]))/(MAX(NBA_City_WCS[Population Growth (% Change since 2020)])-MIN(NBA_City_WCS[Population Growth (% Change since 2020)])) * 100</f>
        <v>93.243243243243228</v>
      </c>
      <c r="G12" s="65">
        <f>VLOOKUP(NBA_Teams_Data[[#This Row],[City Name]], Income_Data_Lookup[#All], 2, FALSE)</f>
        <v>72453</v>
      </c>
      <c r="H12" s="83">
        <f>(NBA_City_WCS[[#This Row],[Per Capita Personal Income (2023)]]-MIN(NBA_City_WCS[[#All],[Per Capita Personal Income (2023)]]))/(MAX(NBA_City_WCS[[#All],[Per Capita Personal Income (2023)]])-MIN(NBA_City_WCS[[#All],[Per Capita Personal Income (2023)]])) * 100</f>
        <v>20.365941979475547</v>
      </c>
      <c r="I12" s="44">
        <f>VLOOKUP(NBA_Teams_Data[[#This Row],[City Name]],Nielsen_TV_Market_Lookup[],2,FALSE)</f>
        <v>6</v>
      </c>
      <c r="J12" s="84">
        <f>(NBA_City_WCS[[#This Row],[Nielsen TV Market Rank]]-MAX(NBA_City_WCS[Nielsen TV Market Rank]))/(MIN(NBA_City_WCS[Nielsen TV Market Rank])-MAX(NBA_City_WCS[Nielsen TV Market Rank])) * 100</f>
        <v>90.196078431372555</v>
      </c>
      <c r="K12" s="44">
        <f>VLOOKUP(NBA_Teams_Data[[#This Row],[City Name]],Google_Trend_Score[#All], 2, FALSE)</f>
        <v>54</v>
      </c>
      <c r="L12" s="84">
        <f>(NBA_City_WCS[[#This Row],[NBA Google Analytic Trend Score (0-100)]]-MIN(NBA_City_WCS[NBA Google Analytic Trend Score (0-100)]))/(MAX(NBA_City_WCS[NBA Google Analytic Trend Score (0-100)])-MIN(NBA_City_WCS[NBA Google Analytic Trend Score (0-100)])) * 100</f>
        <v>17.073170731707318</v>
      </c>
      <c r="M12" s="80">
        <f>VLOOKUP(NBA_Teams_Data[[#This Row],[City Name]],Demographic_Data_Lookup12[#All], 2, FALSE)</f>
        <v>42.6</v>
      </c>
      <c r="N12" s="85">
        <f>(NBA_City_WCS[[#This Row],[Demographic Data (15 - 44 Age Group)]]-MIN(NBA_City_WCS[Demographic Data (15 - 44 Age Group)]))/(MAX(NBA_City_WCS[Demographic Data (15 - 44 Age Group)])-MIN(NBA_City_WCS[Demographic Data (15 - 44 Age Group)])) * 100</f>
        <v>65.060240963855435</v>
      </c>
      <c r="O12">
        <v>100</v>
      </c>
      <c r="P12" s="44">
        <f>COUNTIF(Fortune_500_Companies_Lookup[City],NBA_Teams_Data[[#This Row],[City Name]])</f>
        <v>26</v>
      </c>
      <c r="Q12" s="86">
        <f>NBA_City_WCS[[#This Row],[Fortune 500 HQ''s]]/72 * 100</f>
        <v>36.111111111111107</v>
      </c>
      <c r="R12" s="13">
        <f>NBA_City_WCS[[#This Row],[Metro Population Weighted Score (20%)]]*0.2 + NBA_City_WCS[[#This Row],[Population Growth Weighted Score (15%)]]*0.15 + NBA_City_WCS[[#This Row],[Per Capita Income Weighted Score (15%)]]*0.15 + NBA_City_WCS[[#This Row],[TV Market Rank Weighted Score (10%)]]*0.1 + NBA_City_WCS[[#This Row],[Google Trend Weighted Score (10%)]]*0.1 + NBA_City_WCS[[#This Row],[Demographic Weighted Score (10%)]]*0.1 + NBA_City_WCS[[#This Row],[Arena Criteria (10%)]]*0.1 +NBA_City_WCS[[#This Row],[Fortune 500 HQ''s Score (10%)]]*0.1</f>
        <v>55.084696009491552</v>
      </c>
    </row>
    <row r="13" spans="1:18">
      <c r="A13" s="23" t="s">
        <v>129</v>
      </c>
      <c r="B13" s="17" t="s">
        <v>130</v>
      </c>
      <c r="C13" s="24">
        <f>VLOOKUP(NBA_Teams_Data[[#This Row],[City Name]],USA_Metro_Population_Lookup[],2,FALSE)</f>
        <v>2174833</v>
      </c>
      <c r="D13" s="81">
        <f>(NBA_City_WCS[[#This Row],[Metro Population 2024]]-MIN(NBA_City_WCS[Metro Population 2024]))/(MAX(NBA_City_WCS[Metro Population 2024])-MIN(NBA_City_WCS[Metro Population 2024])) * 100</f>
        <v>6.3697701976447405</v>
      </c>
      <c r="E13" s="68">
        <f>VLOOKUP(NBA_Teams_Data[[#This Row],[City Name]],USA_Metro_Population_Lookup[], 3, FALSE)</f>
        <v>4.08</v>
      </c>
      <c r="F13" s="82">
        <f>(NBA_City_WCS[[#This Row],[Population Growth (% Change since 2020)]]-MIN(NBA_City_WCS[[#All],[Population Growth (% Change since 2020)]]))/(MAX(NBA_City_WCS[Population Growth (% Change since 2020)])-MIN(NBA_City_WCS[Population Growth (% Change since 2020)])) * 100</f>
        <v>57.965860597439544</v>
      </c>
      <c r="G13" s="36">
        <f>VLOOKUP(NBA_Teams_Data[[#This Row],[City Name]], Income_Data_Lookup[#All], 2, FALSE)</f>
        <v>72494</v>
      </c>
      <c r="H13" s="83">
        <f>(NBA_City_WCS[[#This Row],[Per Capita Personal Income (2023)]]-MIN(NBA_City_WCS[[#All],[Per Capita Personal Income (2023)]]))/(MAX(NBA_City_WCS[[#All],[Per Capita Personal Income (2023)]])-MIN(NBA_City_WCS[[#All],[Per Capita Personal Income (2023)]])) * 100</f>
        <v>20.42196745056777</v>
      </c>
      <c r="I13" s="17">
        <f>VLOOKUP(NBA_Teams_Data[[#This Row],[City Name]],Nielsen_TV_Market_Lookup[],2,FALSE)</f>
        <v>26</v>
      </c>
      <c r="J13" s="84">
        <f>(NBA_City_WCS[[#This Row],[Nielsen TV Market Rank]]-MAX(NBA_City_WCS[Nielsen TV Market Rank]))/(MIN(NBA_City_WCS[Nielsen TV Market Rank])-MAX(NBA_City_WCS[Nielsen TV Market Rank])) * 100</f>
        <v>50.980392156862742</v>
      </c>
      <c r="K13" s="17">
        <f>VLOOKUP(NBA_Teams_Data[[#This Row],[City Name]],Google_Trend_Score[#All], 2, FALSE)</f>
        <v>65</v>
      </c>
      <c r="L13" s="84">
        <f>(NBA_City_WCS[[#This Row],[NBA Google Analytic Trend Score (0-100)]]-MIN(NBA_City_WCS[NBA Google Analytic Trend Score (0-100)]))/(MAX(NBA_City_WCS[NBA Google Analytic Trend Score (0-100)])-MIN(NBA_City_WCS[NBA Google Analytic Trend Score (0-100)])) * 100</f>
        <v>43.902439024390247</v>
      </c>
      <c r="M13" s="50">
        <f>VLOOKUP(NBA_Teams_Data[[#This Row],[City Name]],Demographic_Data_Lookup12[#All], 2, FALSE)</f>
        <v>41</v>
      </c>
      <c r="N13" s="85">
        <f>(NBA_City_WCS[[#This Row],[Demographic Data (15 - 44 Age Group)]]-MIN(NBA_City_WCS[Demographic Data (15 - 44 Age Group)]))/(MAX(NBA_City_WCS[Demographic Data (15 - 44 Age Group)])-MIN(NBA_City_WCS[Demographic Data (15 - 44 Age Group)])) * 100</f>
        <v>45.783132530120461</v>
      </c>
      <c r="O13">
        <v>100</v>
      </c>
      <c r="P13" s="17">
        <f>COUNTIF(Fortune_500_Companies_Lookup[City],NBA_Teams_Data[[#This Row],[City Name]])</f>
        <v>3</v>
      </c>
      <c r="Q13" s="86">
        <f>NBA_City_WCS[[#This Row],[Fortune 500 HQ''s]]/72 * 100</f>
        <v>4.1666666666666661</v>
      </c>
      <c r="R13" s="13">
        <f>NBA_City_WCS[[#This Row],[Metro Population Weighted Score (20%)]]*0.2 + NBA_City_WCS[[#This Row],[Population Growth Weighted Score (15%)]]*0.15 + NBA_City_WCS[[#This Row],[Per Capita Income Weighted Score (15%)]]*0.15 + NBA_City_WCS[[#This Row],[TV Market Rank Weighted Score (10%)]]*0.1 + NBA_City_WCS[[#This Row],[Google Trend Weighted Score (10%)]]*0.1 + NBA_City_WCS[[#This Row],[Demographic Weighted Score (10%)]]*0.1 + NBA_City_WCS[[#This Row],[Arena Criteria (10%)]]*0.1 +NBA_City_WCS[[#This Row],[Fortune 500 HQ''s Score (10%)]]*0.1</f>
        <v>37.515391284534054</v>
      </c>
    </row>
    <row r="14" spans="1:18">
      <c r="A14" s="46" t="s">
        <v>133</v>
      </c>
      <c r="B14" s="44" t="s">
        <v>134</v>
      </c>
      <c r="C14" s="59">
        <f>VLOOKUP(NBA_Teams_Data[[#This Row],[City Name]],USA_Metro_Population_Lookup[],2,FALSE)</f>
        <v>17671828</v>
      </c>
      <c r="D14" s="81">
        <f>(NBA_City_WCS[[#This Row],[Metro Population 2024]]-MIN(NBA_City_WCS[Metro Population 2024]))/(MAX(NBA_City_WCS[Metro Population 2024])-MIN(NBA_City_WCS[Metro Population 2024])) * 100</f>
        <v>88.0444780248217</v>
      </c>
      <c r="E14" s="78">
        <f>VLOOKUP(NBA_Teams_Data[[#This Row],[City Name]],USA_Metro_Population_Lookup[], 3, FALSE)</f>
        <v>-2.0699999999999998</v>
      </c>
      <c r="F14" s="82">
        <f>(NBA_City_WCS[[#This Row],[Population Growth (% Change since 2020)]]-MIN(NBA_City_WCS[[#All],[Population Growth (% Change since 2020)]]))/(MAX(NBA_City_WCS[Population Growth (% Change since 2020)])-MIN(NBA_City_WCS[Population Growth (% Change since 2020)])) * 100</f>
        <v>14.224751066856333</v>
      </c>
      <c r="G14" s="65">
        <f>VLOOKUP(NBA_Teams_Data[[#This Row],[City Name]], Income_Data_Lookup[#All], 2, FALSE)</f>
        <v>80898</v>
      </c>
      <c r="H14" s="83">
        <f>(NBA_City_WCS[[#This Row],[Per Capita Personal Income (2023)]]-MIN(NBA_City_WCS[[#All],[Per Capita Personal Income (2023)]]))/(MAX(NBA_City_WCS[[#All],[Per Capita Personal Income (2023)]])-MIN(NBA_City_WCS[[#All],[Per Capita Personal Income (2023)]])) * 100</f>
        <v>31.905822549568878</v>
      </c>
      <c r="I14" s="44">
        <f>VLOOKUP(NBA_Teams_Data[[#This Row],[City Name]],Nielsen_TV_Market_Lookup[],2,FALSE)</f>
        <v>2</v>
      </c>
      <c r="J14" s="84">
        <f>(NBA_City_WCS[[#This Row],[Nielsen TV Market Rank]]-MAX(NBA_City_WCS[Nielsen TV Market Rank]))/(MIN(NBA_City_WCS[Nielsen TV Market Rank])-MAX(NBA_City_WCS[Nielsen TV Market Rank])) * 100</f>
        <v>98.039215686274503</v>
      </c>
      <c r="K14" s="44">
        <f>VLOOKUP(NBA_Teams_Data[[#This Row],[City Name]],Google_Trend_Score[#All], 2, FALSE)</f>
        <v>64</v>
      </c>
      <c r="L14" s="84">
        <f>(NBA_City_WCS[[#This Row],[NBA Google Analytic Trend Score (0-100)]]-MIN(NBA_City_WCS[NBA Google Analytic Trend Score (0-100)]))/(MAX(NBA_City_WCS[NBA Google Analytic Trend Score (0-100)])-MIN(NBA_City_WCS[NBA Google Analytic Trend Score (0-100)])) * 100</f>
        <v>41.463414634146339</v>
      </c>
      <c r="M14" s="80">
        <f>VLOOKUP(NBA_Teams_Data[[#This Row],[City Name]],Demographic_Data_Lookup12[#All], 2, FALSE)</f>
        <v>41.8</v>
      </c>
      <c r="N14" s="85">
        <f>(NBA_City_WCS[[#This Row],[Demographic Data (15 - 44 Age Group)]]-MIN(NBA_City_WCS[Demographic Data (15 - 44 Age Group)]))/(MAX(NBA_City_WCS[Demographic Data (15 - 44 Age Group)])-MIN(NBA_City_WCS[Demographic Data (15 - 44 Age Group)])) * 100</f>
        <v>55.421686746987895</v>
      </c>
      <c r="O14">
        <v>100</v>
      </c>
      <c r="P14" s="44">
        <f>COUNTIF(Fortune_500_Companies_Lookup[City],NBA_Teams_Data[[#This Row],[City Name]])</f>
        <v>13</v>
      </c>
      <c r="Q14" s="86">
        <f>NBA_City_WCS[[#This Row],[Fortune 500 HQ''s]]/72 * 100</f>
        <v>18.055555555555554</v>
      </c>
      <c r="R14" s="13">
        <f>NBA_City_WCS[[#This Row],[Metro Population Weighted Score (20%)]]*0.2 + NBA_City_WCS[[#This Row],[Population Growth Weighted Score (15%)]]*0.15 + NBA_City_WCS[[#This Row],[Per Capita Income Weighted Score (15%)]]*0.15 + NBA_City_WCS[[#This Row],[TV Market Rank Weighted Score (10%)]]*0.1 + NBA_City_WCS[[#This Row],[Google Trend Weighted Score (10%)]]*0.1 + NBA_City_WCS[[#This Row],[Demographic Weighted Score (10%)]]*0.1 + NBA_City_WCS[[#This Row],[Arena Criteria (10%)]]*0.1 +NBA_City_WCS[[#This Row],[Fortune 500 HQ''s Score (10%)]]*0.1</f>
        <v>55.826468909724554</v>
      </c>
    </row>
    <row r="15" spans="1:18">
      <c r="A15" s="23" t="s">
        <v>137</v>
      </c>
      <c r="B15" s="17" t="s">
        <v>134</v>
      </c>
      <c r="C15" s="24">
        <f>VLOOKUP(NBA_Teams_Data[[#This Row],[City Name]],USA_Metro_Population_Lookup[],2,FALSE)</f>
        <v>17671828</v>
      </c>
      <c r="D15" s="81">
        <f>(NBA_City_WCS[[#This Row],[Metro Population 2024]]-MIN(NBA_City_WCS[Metro Population 2024]))/(MAX(NBA_City_WCS[Metro Population 2024])-MIN(NBA_City_WCS[Metro Population 2024])) * 100</f>
        <v>88.0444780248217</v>
      </c>
      <c r="E15" s="68">
        <f>VLOOKUP(NBA_Teams_Data[[#This Row],[City Name]],USA_Metro_Population_Lookup[], 3, FALSE)</f>
        <v>-2.0699999999999998</v>
      </c>
      <c r="F15" s="82">
        <f>(NBA_City_WCS[[#This Row],[Population Growth (% Change since 2020)]]-MIN(NBA_City_WCS[[#All],[Population Growth (% Change since 2020)]]))/(MAX(NBA_City_WCS[Population Growth (% Change since 2020)])-MIN(NBA_City_WCS[Population Growth (% Change since 2020)])) * 100</f>
        <v>14.224751066856333</v>
      </c>
      <c r="G15" s="36">
        <f>VLOOKUP(NBA_Teams_Data[[#This Row],[City Name]], Income_Data_Lookup[#All], 2, FALSE)</f>
        <v>80898</v>
      </c>
      <c r="H15" s="83">
        <f>(NBA_City_WCS[[#This Row],[Per Capita Personal Income (2023)]]-MIN(NBA_City_WCS[[#All],[Per Capita Personal Income (2023)]]))/(MAX(NBA_City_WCS[[#All],[Per Capita Personal Income (2023)]])-MIN(NBA_City_WCS[[#All],[Per Capita Personal Income (2023)]])) * 100</f>
        <v>31.905822549568878</v>
      </c>
      <c r="I15" s="17">
        <f>VLOOKUP(NBA_Teams_Data[[#This Row],[City Name]],Nielsen_TV_Market_Lookup[],2,FALSE)</f>
        <v>2</v>
      </c>
      <c r="J15" s="84">
        <f>(NBA_City_WCS[[#This Row],[Nielsen TV Market Rank]]-MAX(NBA_City_WCS[Nielsen TV Market Rank]))/(MIN(NBA_City_WCS[Nielsen TV Market Rank])-MAX(NBA_City_WCS[Nielsen TV Market Rank])) * 100</f>
        <v>98.039215686274503</v>
      </c>
      <c r="K15" s="17">
        <f>VLOOKUP(NBA_Teams_Data[[#This Row],[City Name]],Google_Trend_Score[#All], 2, FALSE)</f>
        <v>64</v>
      </c>
      <c r="L15" s="84">
        <f>(NBA_City_WCS[[#This Row],[NBA Google Analytic Trend Score (0-100)]]-MIN(NBA_City_WCS[NBA Google Analytic Trend Score (0-100)]))/(MAX(NBA_City_WCS[NBA Google Analytic Trend Score (0-100)])-MIN(NBA_City_WCS[NBA Google Analytic Trend Score (0-100)])) * 100</f>
        <v>41.463414634146339</v>
      </c>
      <c r="M15" s="50">
        <f>VLOOKUP(NBA_Teams_Data[[#This Row],[City Name]],Demographic_Data_Lookup12[#All], 2, FALSE)</f>
        <v>41.8</v>
      </c>
      <c r="N15" s="85">
        <f>(NBA_City_WCS[[#This Row],[Demographic Data (15 - 44 Age Group)]]-MIN(NBA_City_WCS[Demographic Data (15 - 44 Age Group)]))/(MAX(NBA_City_WCS[Demographic Data (15 - 44 Age Group)])-MIN(NBA_City_WCS[Demographic Data (15 - 44 Age Group)])) * 100</f>
        <v>55.421686746987895</v>
      </c>
      <c r="O15">
        <v>100</v>
      </c>
      <c r="P15" s="17">
        <f>COUNTIF(Fortune_500_Companies_Lookup[City],NBA_Teams_Data[[#This Row],[City Name]])</f>
        <v>13</v>
      </c>
      <c r="Q15" s="86">
        <f>NBA_City_WCS[[#This Row],[Fortune 500 HQ''s]]/72 * 100</f>
        <v>18.055555555555554</v>
      </c>
      <c r="R15" s="13">
        <f>NBA_City_WCS[[#This Row],[Metro Population Weighted Score (20%)]]*0.2 + NBA_City_WCS[[#This Row],[Population Growth Weighted Score (15%)]]*0.15 + NBA_City_WCS[[#This Row],[Per Capita Income Weighted Score (15%)]]*0.15 + NBA_City_WCS[[#This Row],[TV Market Rank Weighted Score (10%)]]*0.1 + NBA_City_WCS[[#This Row],[Google Trend Weighted Score (10%)]]*0.1 + NBA_City_WCS[[#This Row],[Demographic Weighted Score (10%)]]*0.1 + NBA_City_WCS[[#This Row],[Arena Criteria (10%)]]*0.1 +NBA_City_WCS[[#This Row],[Fortune 500 HQ''s Score (10%)]]*0.1</f>
        <v>55.826468909724554</v>
      </c>
    </row>
    <row r="16" spans="1:18">
      <c r="A16" s="46" t="s">
        <v>140</v>
      </c>
      <c r="B16" s="44" t="s">
        <v>141</v>
      </c>
      <c r="C16" s="59">
        <f>VLOOKUP(NBA_Teams_Data[[#This Row],[City Name]],USA_Metro_Population_Lookup[],2,FALSE)</f>
        <v>1339345</v>
      </c>
      <c r="D16" s="81">
        <f>(NBA_City_WCS[[#This Row],[Metro Population 2024]]-MIN(NBA_City_WCS[Metro Population 2024]))/(MAX(NBA_City_WCS[Metro Population 2024])-MIN(NBA_City_WCS[Metro Population 2024])) * 100</f>
        <v>1.9664495349541722</v>
      </c>
      <c r="E16" s="78">
        <f>VLOOKUP(NBA_Teams_Data[[#This Row],[City Name]],USA_Metro_Population_Lookup[], 3, FALSE)</f>
        <v>-0.45</v>
      </c>
      <c r="F16" s="82">
        <f>(NBA_City_WCS[[#This Row],[Population Growth (% Change since 2020)]]-MIN(NBA_City_WCS[[#All],[Population Growth (% Change since 2020)]]))/(MAX(NBA_City_WCS[Population Growth (% Change since 2020)])-MIN(NBA_City_WCS[Population Growth (% Change since 2020)])) * 100</f>
        <v>25.746799431009958</v>
      </c>
      <c r="G16" s="65">
        <f>VLOOKUP(NBA_Teams_Data[[#This Row],[City Name]], Income_Data_Lookup[#All], 2, FALSE)</f>
        <v>60083</v>
      </c>
      <c r="H16" s="83">
        <f>(NBA_City_WCS[[#This Row],[Per Capita Personal Income (2023)]]-MIN(NBA_City_WCS[[#All],[Per Capita Personal Income (2023)]]))/(MAX(NBA_City_WCS[[#All],[Per Capita Personal Income (2023)]])-MIN(NBA_City_WCS[[#All],[Per Capita Personal Income (2023)]])) * 100</f>
        <v>3.4626474084803434</v>
      </c>
      <c r="I16" s="44">
        <f>VLOOKUP(NBA_Teams_Data[[#This Row],[City Name]],Nielsen_TV_Market_Lookup[],2,FALSE)</f>
        <v>52</v>
      </c>
      <c r="J16" s="84">
        <f>(NBA_City_WCS[[#This Row],[Nielsen TV Market Rank]]-MAX(NBA_City_WCS[Nielsen TV Market Rank]))/(MIN(NBA_City_WCS[Nielsen TV Market Rank])-MAX(NBA_City_WCS[Nielsen TV Market Rank])) * 100</f>
        <v>0</v>
      </c>
      <c r="K16" s="44">
        <f>VLOOKUP(NBA_Teams_Data[[#This Row],[City Name]],Google_Trend_Score[#All], 2, FALSE)</f>
        <v>78</v>
      </c>
      <c r="L16" s="84">
        <f>(NBA_City_WCS[[#This Row],[NBA Google Analytic Trend Score (0-100)]]-MIN(NBA_City_WCS[NBA Google Analytic Trend Score (0-100)]))/(MAX(NBA_City_WCS[NBA Google Analytic Trend Score (0-100)])-MIN(NBA_City_WCS[NBA Google Analytic Trend Score (0-100)])) * 100</f>
        <v>75.609756097560975</v>
      </c>
      <c r="M16" s="80">
        <f>VLOOKUP(NBA_Teams_Data[[#This Row],[City Name]],Demographic_Data_Lookup12[#All], 2, FALSE)</f>
        <v>40.200000000000003</v>
      </c>
      <c r="N16" s="85">
        <f>(NBA_City_WCS[[#This Row],[Demographic Data (15 - 44 Age Group)]]-MIN(NBA_City_WCS[Demographic Data (15 - 44 Age Group)]))/(MAX(NBA_City_WCS[Demographic Data (15 - 44 Age Group)])-MIN(NBA_City_WCS[Demographic Data (15 - 44 Age Group)])) * 100</f>
        <v>36.144578313253021</v>
      </c>
      <c r="O16">
        <v>100</v>
      </c>
      <c r="P16" s="44">
        <f>COUNTIF(Fortune_500_Companies_Lookup[City],NBA_Teams_Data[[#This Row],[City Name]])</f>
        <v>3</v>
      </c>
      <c r="Q16" s="86">
        <f>NBA_City_WCS[[#This Row],[Fortune 500 HQ''s]]/72 * 100</f>
        <v>4.1666666666666661</v>
      </c>
      <c r="R16" s="13">
        <f>NBA_City_WCS[[#This Row],[Metro Population Weighted Score (20%)]]*0.2 + NBA_City_WCS[[#This Row],[Population Growth Weighted Score (15%)]]*0.15 + NBA_City_WCS[[#This Row],[Per Capita Income Weighted Score (15%)]]*0.15 + NBA_City_WCS[[#This Row],[TV Market Rank Weighted Score (10%)]]*0.1 + NBA_City_WCS[[#This Row],[Google Trend Weighted Score (10%)]]*0.1 + NBA_City_WCS[[#This Row],[Demographic Weighted Score (10%)]]*0.1 + NBA_City_WCS[[#This Row],[Arena Criteria (10%)]]*0.1 +NBA_City_WCS[[#This Row],[Fortune 500 HQ''s Score (10%)]]*0.1</f>
        <v>26.366807040662447</v>
      </c>
    </row>
    <row r="17" spans="1:18">
      <c r="A17" s="23" t="s">
        <v>144</v>
      </c>
      <c r="B17" s="17" t="s">
        <v>145</v>
      </c>
      <c r="C17" s="24">
        <f>VLOOKUP(NBA_Teams_Data[[#This Row],[City Name]],USA_Metro_Population_Lookup[],2,FALSE)</f>
        <v>6457988</v>
      </c>
      <c r="D17" s="81">
        <f>(NBA_City_WCS[[#This Row],[Metro Population 2024]]-MIN(NBA_City_WCS[Metro Population 2024]))/(MAX(NBA_City_WCS[Metro Population 2024])-MIN(NBA_City_WCS[Metro Population 2024])) * 100</f>
        <v>28.94352938150665</v>
      </c>
      <c r="E17" s="68">
        <f>VLOOKUP(NBA_Teams_Data[[#This Row],[City Name]],USA_Metro_Population_Lookup[], 3, FALSE)</f>
        <v>5.21</v>
      </c>
      <c r="F17" s="82">
        <f>(NBA_City_WCS[[#This Row],[Population Growth (% Change since 2020)]]-MIN(NBA_City_WCS[[#All],[Population Growth (% Change since 2020)]]))/(MAX(NBA_City_WCS[Population Growth (% Change since 2020)])-MIN(NBA_City_WCS[Population Growth (% Change since 2020)])) * 100</f>
        <v>66.002844950213387</v>
      </c>
      <c r="G17" s="36">
        <f>VLOOKUP(NBA_Teams_Data[[#This Row],[City Name]], Income_Data_Lookup[#All], 2, FALSE)</f>
        <v>84302</v>
      </c>
      <c r="H17" s="83">
        <f>(NBA_City_WCS[[#This Row],[Per Capita Personal Income (2023)]]-MIN(NBA_City_WCS[[#All],[Per Capita Personal Income (2023)]]))/(MAX(NBA_City_WCS[[#All],[Per Capita Personal Income (2023)]])-MIN(NBA_City_WCS[[#All],[Per Capita Personal Income (2023)]])) * 100</f>
        <v>36.557303125128101</v>
      </c>
      <c r="I17" s="17">
        <f>VLOOKUP(NBA_Teams_Data[[#This Row],[City Name]],Nielsen_TV_Market_Lookup[],2,FALSE)</f>
        <v>19</v>
      </c>
      <c r="J17" s="84">
        <f>(NBA_City_WCS[[#This Row],[Nielsen TV Market Rank]]-MAX(NBA_City_WCS[Nielsen TV Market Rank]))/(MIN(NBA_City_WCS[Nielsen TV Market Rank])-MAX(NBA_City_WCS[Nielsen TV Market Rank])) * 100</f>
        <v>64.705882352941174</v>
      </c>
      <c r="K17" s="17">
        <f>VLOOKUP(NBA_Teams_Data[[#This Row],[City Name]],Google_Trend_Score[#All], 2, FALSE)</f>
        <v>64</v>
      </c>
      <c r="L17" s="84">
        <f>(NBA_City_WCS[[#This Row],[NBA Google Analytic Trend Score (0-100)]]-MIN(NBA_City_WCS[NBA Google Analytic Trend Score (0-100)]))/(MAX(NBA_City_WCS[NBA Google Analytic Trend Score (0-100)])-MIN(NBA_City_WCS[NBA Google Analytic Trend Score (0-100)])) * 100</f>
        <v>41.463414634146339</v>
      </c>
      <c r="M17" s="50">
        <f>VLOOKUP(NBA_Teams_Data[[#This Row],[City Name]],Demographic_Data_Lookup12[#All], 2, FALSE)</f>
        <v>37.299999999999997</v>
      </c>
      <c r="N17" s="85">
        <f>(NBA_City_WCS[[#This Row],[Demographic Data (15 - 44 Age Group)]]-MIN(NBA_City_WCS[Demographic Data (15 - 44 Age Group)]))/(MAX(NBA_City_WCS[Demographic Data (15 - 44 Age Group)])-MIN(NBA_City_WCS[Demographic Data (15 - 44 Age Group)])) * 100</f>
        <v>1.2048192771083657</v>
      </c>
      <c r="O17">
        <v>100</v>
      </c>
      <c r="P17" s="17">
        <f>COUNTIF(Fortune_500_Companies_Lookup[City],NBA_Teams_Data[[#This Row],[City Name]])</f>
        <v>10</v>
      </c>
      <c r="Q17" s="86">
        <f>NBA_City_WCS[[#This Row],[Fortune 500 HQ''s]]/72 * 100</f>
        <v>13.888888888888889</v>
      </c>
      <c r="R17" s="13">
        <f>NBA_City_WCS[[#This Row],[Metro Population Weighted Score (20%)]]*0.2 + NBA_City_WCS[[#This Row],[Population Growth Weighted Score (15%)]]*0.15 + NBA_City_WCS[[#This Row],[Per Capita Income Weighted Score (15%)]]*0.15 + NBA_City_WCS[[#This Row],[TV Market Rank Weighted Score (10%)]]*0.1 + NBA_City_WCS[[#This Row],[Google Trend Weighted Score (10%)]]*0.1 + NBA_City_WCS[[#This Row],[Demographic Weighted Score (10%)]]*0.1 + NBA_City_WCS[[#This Row],[Arena Criteria (10%)]]*0.1 +NBA_City_WCS[[#This Row],[Fortune 500 HQ''s Score (10%)]]*0.1</f>
        <v>43.299028602911022</v>
      </c>
    </row>
    <row r="18" spans="1:18">
      <c r="A18" s="46" t="s">
        <v>148</v>
      </c>
      <c r="B18" s="44" t="s">
        <v>149</v>
      </c>
      <c r="C18" s="59">
        <f>VLOOKUP(NBA_Teams_Data[[#This Row],[City Name]],USA_Metro_Population_Lookup[],2,FALSE)</f>
        <v>1574452</v>
      </c>
      <c r="D18" s="81">
        <f>(NBA_City_WCS[[#This Row],[Metro Population 2024]]-MIN(NBA_City_WCS[Metro Population 2024]))/(MAX(NBA_City_WCS[Metro Population 2024])-MIN(NBA_City_WCS[Metro Population 2024])) * 100</f>
        <v>3.2055475364134285</v>
      </c>
      <c r="E18" s="78">
        <f>VLOOKUP(NBA_Teams_Data[[#This Row],[City Name]],USA_Metro_Population_Lookup[], 3, FALSE)</f>
        <v>-0.02</v>
      </c>
      <c r="F18" s="82">
        <f>(NBA_City_WCS[[#This Row],[Population Growth (% Change since 2020)]]-MIN(NBA_City_WCS[[#All],[Population Growth (% Change since 2020)]]))/(MAX(NBA_City_WCS[Population Growth (% Change since 2020)])-MIN(NBA_City_WCS[Population Growth (% Change since 2020)])) * 100</f>
        <v>28.805120910384076</v>
      </c>
      <c r="G18" s="65">
        <f>VLOOKUP(NBA_Teams_Data[[#This Row],[City Name]], Income_Data_Lookup[#All], 2, FALSE)</f>
        <v>72316</v>
      </c>
      <c r="H18" s="83">
        <f>(NBA_City_WCS[[#This Row],[Per Capita Personal Income (2023)]]-MIN(NBA_City_WCS[[#All],[Per Capita Personal Income (2023)]]))/(MAX(NBA_City_WCS[[#All],[Per Capita Personal Income (2023)]])-MIN(NBA_City_WCS[[#All],[Per Capita Personal Income (2023)]])) * 100</f>
        <v>20.178734917533241</v>
      </c>
      <c r="I18" s="44">
        <f>VLOOKUP(NBA_Teams_Data[[#This Row],[City Name]],Nielsen_TV_Market_Lookup[],2,FALSE)</f>
        <v>39</v>
      </c>
      <c r="J18" s="84">
        <f>(NBA_City_WCS[[#This Row],[Nielsen TV Market Rank]]-MAX(NBA_City_WCS[Nielsen TV Market Rank]))/(MIN(NBA_City_WCS[Nielsen TV Market Rank])-MAX(NBA_City_WCS[Nielsen TV Market Rank])) * 100</f>
        <v>25.490196078431371</v>
      </c>
      <c r="K18" s="44">
        <f>VLOOKUP(NBA_Teams_Data[[#This Row],[City Name]],Google_Trend_Score[#All], 2, FALSE)</f>
        <v>70</v>
      </c>
      <c r="L18" s="84">
        <f>(NBA_City_WCS[[#This Row],[NBA Google Analytic Trend Score (0-100)]]-MIN(NBA_City_WCS[NBA Google Analytic Trend Score (0-100)]))/(MAX(NBA_City_WCS[NBA Google Analytic Trend Score (0-100)])-MIN(NBA_City_WCS[NBA Google Analytic Trend Score (0-100)])) * 100</f>
        <v>56.09756097560976</v>
      </c>
      <c r="M18" s="80">
        <f>VLOOKUP(NBA_Teams_Data[[#This Row],[City Name]],Demographic_Data_Lookup12[#All], 2, FALSE)</f>
        <v>39.700000000000003</v>
      </c>
      <c r="N18" s="85">
        <f>(NBA_City_WCS[[#This Row],[Demographic Data (15 - 44 Age Group)]]-MIN(NBA_City_WCS[Demographic Data (15 - 44 Age Group)]))/(MAX(NBA_City_WCS[Demographic Data (15 - 44 Age Group)])-MIN(NBA_City_WCS[Demographic Data (15 - 44 Age Group)])) * 100</f>
        <v>30.120481927710852</v>
      </c>
      <c r="O18">
        <v>100</v>
      </c>
      <c r="P18" s="44">
        <f>COUNTIF(Fortune_500_Companies_Lookup[City],NBA_Teams_Data[[#This Row],[City Name]])</f>
        <v>6</v>
      </c>
      <c r="Q18" s="86">
        <f>NBA_City_WCS[[#This Row],[Fortune 500 HQ''s]]/72 * 100</f>
        <v>8.3333333333333321</v>
      </c>
      <c r="R18" s="13">
        <f>NBA_City_WCS[[#This Row],[Metro Population Weighted Score (20%)]]*0.2 + NBA_City_WCS[[#This Row],[Population Growth Weighted Score (15%)]]*0.15 + NBA_City_WCS[[#This Row],[Per Capita Income Weighted Score (15%)]]*0.15 + NBA_City_WCS[[#This Row],[TV Market Rank Weighted Score (10%)]]*0.1 + NBA_City_WCS[[#This Row],[Google Trend Weighted Score (10%)]]*0.1 + NBA_City_WCS[[#This Row],[Demographic Weighted Score (10%)]]*0.1 + NBA_City_WCS[[#This Row],[Arena Criteria (10%)]]*0.1 +NBA_City_WCS[[#This Row],[Fortune 500 HQ''s Score (10%)]]*0.1</f>
        <v>29.992845112978817</v>
      </c>
    </row>
    <row r="19" spans="1:18">
      <c r="A19" s="23" t="s">
        <v>152</v>
      </c>
      <c r="B19" s="17" t="s">
        <v>153</v>
      </c>
      <c r="C19" s="24">
        <f>VLOOKUP(NBA_Teams_Data[[#This Row],[City Name]],USA_Metro_Population_Lookup[],2,FALSE)</f>
        <v>3757952</v>
      </c>
      <c r="D19" s="81">
        <f>(NBA_City_WCS[[#This Row],[Metro Population 2024]]-MIN(NBA_City_WCS[Metro Population 2024]))/(MAX(NBA_City_WCS[Metro Population 2024])-MIN(NBA_City_WCS[Metro Population 2024])) * 100</f>
        <v>14.713373701462903</v>
      </c>
      <c r="E19" s="68">
        <f>VLOOKUP(NBA_Teams_Data[[#This Row],[City Name]],USA_Metro_Population_Lookup[], 3, FALSE)</f>
        <v>1.83</v>
      </c>
      <c r="F19" s="82">
        <f>(NBA_City_WCS[[#This Row],[Population Growth (% Change since 2020)]]-MIN(NBA_City_WCS[[#All],[Population Growth (% Change since 2020)]]))/(MAX(NBA_City_WCS[Population Growth (% Change since 2020)])-MIN(NBA_City_WCS[Population Growth (% Change since 2020)])) * 100</f>
        <v>41.963015647226179</v>
      </c>
      <c r="G19" s="36">
        <f>VLOOKUP(NBA_Teams_Data[[#This Row],[City Name]], Income_Data_Lookup[#All], 2, FALSE)</f>
        <v>79654</v>
      </c>
      <c r="H19" s="83">
        <f>(NBA_City_WCS[[#This Row],[Per Capita Personal Income (2023)]]-MIN(NBA_City_WCS[[#All],[Per Capita Personal Income (2023)]]))/(MAX(NBA_City_WCS[[#All],[Per Capita Personal Income (2023)]])-MIN(NBA_City_WCS[[#All],[Per Capita Personal Income (2023)]])) * 100</f>
        <v>30.205927768136537</v>
      </c>
      <c r="I19" s="17">
        <f>VLOOKUP(NBA_Teams_Data[[#This Row],[City Name]],Nielsen_TV_Market_Lookup[],2,FALSE)</f>
        <v>17</v>
      </c>
      <c r="J19" s="84">
        <f>(NBA_City_WCS[[#This Row],[Nielsen TV Market Rank]]-MAX(NBA_City_WCS[Nielsen TV Market Rank]))/(MIN(NBA_City_WCS[Nielsen TV Market Rank])-MAX(NBA_City_WCS[Nielsen TV Market Rank])) * 100</f>
        <v>68.627450980392155</v>
      </c>
      <c r="K19" s="17">
        <f>VLOOKUP(NBA_Teams_Data[[#This Row],[City Name]],Google_Trend_Score[#All], 2, FALSE)</f>
        <v>68</v>
      </c>
      <c r="L19" s="84">
        <f>(NBA_City_WCS[[#This Row],[NBA Google Analytic Trend Score (0-100)]]-MIN(NBA_City_WCS[NBA Google Analytic Trend Score (0-100)]))/(MAX(NBA_City_WCS[NBA Google Analytic Trend Score (0-100)])-MIN(NBA_City_WCS[NBA Google Analytic Trend Score (0-100)])) * 100</f>
        <v>51.219512195121951</v>
      </c>
      <c r="M19" s="50">
        <f>VLOOKUP(NBA_Teams_Data[[#This Row],[City Name]],Demographic_Data_Lookup12[#All], 2, FALSE)</f>
        <v>40.5</v>
      </c>
      <c r="N19" s="85">
        <f>(NBA_City_WCS[[#This Row],[Demographic Data (15 - 44 Age Group)]]-MIN(NBA_City_WCS[Demographic Data (15 - 44 Age Group)]))/(MAX(NBA_City_WCS[Demographic Data (15 - 44 Age Group)])-MIN(NBA_City_WCS[Demographic Data (15 - 44 Age Group)])) * 100</f>
        <v>39.759036144578289</v>
      </c>
      <c r="O19">
        <v>100</v>
      </c>
      <c r="P19" s="17">
        <f>COUNTIF(Fortune_500_Companies_Lookup[City],NBA_Teams_Data[[#This Row],[City Name]])</f>
        <v>15</v>
      </c>
      <c r="Q19" s="86">
        <f>NBA_City_WCS[[#This Row],[Fortune 500 HQ''s]]/72 * 100</f>
        <v>20.833333333333336</v>
      </c>
      <c r="R19" s="13">
        <f>NBA_City_WCS[[#This Row],[Metro Population Weighted Score (20%)]]*0.2 + NBA_City_WCS[[#This Row],[Population Growth Weighted Score (15%)]]*0.15 + NBA_City_WCS[[#This Row],[Per Capita Income Weighted Score (15%)]]*0.15 + NBA_City_WCS[[#This Row],[TV Market Rank Weighted Score (10%)]]*0.1 + NBA_City_WCS[[#This Row],[Google Trend Weighted Score (10%)]]*0.1 + NBA_City_WCS[[#This Row],[Demographic Weighted Score (10%)]]*0.1 + NBA_City_WCS[[#This Row],[Arena Criteria (10%)]]*0.1 +NBA_City_WCS[[#This Row],[Fortune 500 HQ''s Score (10%)]]*0.1</f>
        <v>41.81194951793956</v>
      </c>
    </row>
    <row r="20" spans="1:18">
      <c r="A20" s="46" t="s">
        <v>156</v>
      </c>
      <c r="B20" s="44" t="s">
        <v>157</v>
      </c>
      <c r="C20" s="59">
        <f>VLOOKUP(NBA_Teams_Data[[#This Row],[City Name]],USA_Metro_Population_Lookup[],2,FALSE)</f>
        <v>966230</v>
      </c>
      <c r="D20" s="81">
        <f>(NBA_City_WCS[[#This Row],[Metro Population 2024]]-MIN(NBA_City_WCS[Metro Population 2024]))/(MAX(NBA_City_WCS[Metro Population 2024])-MIN(NBA_City_WCS[Metro Population 2024])) * 100</f>
        <v>0</v>
      </c>
      <c r="E20" s="78">
        <f>VLOOKUP(NBA_Teams_Data[[#This Row],[City Name]],USA_Metro_Population_Lookup[], 3, FALSE)</f>
        <v>-4.07</v>
      </c>
      <c r="F20" s="82">
        <f>(NBA_City_WCS[[#This Row],[Population Growth (% Change since 2020)]]-MIN(NBA_City_WCS[[#All],[Population Growth (% Change since 2020)]]))/(MAX(NBA_City_WCS[Population Growth (% Change since 2020)])-MIN(NBA_City_WCS[Population Growth (% Change since 2020)])) * 100</f>
        <v>0</v>
      </c>
      <c r="G20" s="65">
        <f>VLOOKUP(NBA_Teams_Data[[#This Row],[City Name]], Income_Data_Lookup[#All], 2, FALSE)</f>
        <v>66588</v>
      </c>
      <c r="H20" s="83">
        <f>(NBA_City_WCS[[#This Row],[Per Capita Personal Income (2023)]]-MIN(NBA_City_WCS[[#All],[Per Capita Personal Income (2023)]]))/(MAX(NBA_City_WCS[[#All],[Per Capita Personal Income (2023)]])-MIN(NBA_City_WCS[[#All],[Per Capita Personal Income (2023)]])) * 100</f>
        <v>12.351566663478225</v>
      </c>
      <c r="I20" s="44">
        <f>VLOOKUP(NBA_Teams_Data[[#This Row],[City Name]],Nielsen_TV_Market_Lookup[],2,FALSE)</f>
        <v>51</v>
      </c>
      <c r="J20" s="84">
        <f>(NBA_City_WCS[[#This Row],[Nielsen TV Market Rank]]-MAX(NBA_City_WCS[Nielsen TV Market Rank]))/(MIN(NBA_City_WCS[Nielsen TV Market Rank])-MAX(NBA_City_WCS[Nielsen TV Market Rank])) * 100</f>
        <v>1.9607843137254901</v>
      </c>
      <c r="K20" s="44">
        <f>VLOOKUP(NBA_Teams_Data[[#This Row],[City Name]],Google_Trend_Score[#All], 2, FALSE)</f>
        <v>51</v>
      </c>
      <c r="L20" s="84">
        <f>(NBA_City_WCS[[#This Row],[NBA Google Analytic Trend Score (0-100)]]-MIN(NBA_City_WCS[NBA Google Analytic Trend Score (0-100)]))/(MAX(NBA_City_WCS[NBA Google Analytic Trend Score (0-100)])-MIN(NBA_City_WCS[NBA Google Analytic Trend Score (0-100)])) * 100</f>
        <v>9.7560975609756095</v>
      </c>
      <c r="M20" s="80">
        <f>VLOOKUP(NBA_Teams_Data[[#This Row],[City Name]],Demographic_Data_Lookup12[#All], 2, FALSE)</f>
        <v>39</v>
      </c>
      <c r="N20" s="85">
        <f>(NBA_City_WCS[[#This Row],[Demographic Data (15 - 44 Age Group)]]-MIN(NBA_City_WCS[Demographic Data (15 - 44 Age Group)]))/(MAX(NBA_City_WCS[Demographic Data (15 - 44 Age Group)])-MIN(NBA_City_WCS[Demographic Data (15 - 44 Age Group)])) * 100</f>
        <v>21.686746987951778</v>
      </c>
      <c r="O20">
        <v>100</v>
      </c>
      <c r="P20" s="44">
        <f>COUNTIF(Fortune_500_Companies_Lookup[City],NBA_Teams_Data[[#This Row],[City Name]])</f>
        <v>1</v>
      </c>
      <c r="Q20" s="86">
        <f>NBA_City_WCS[[#This Row],[Fortune 500 HQ''s]]/72 * 100</f>
        <v>1.3888888888888888</v>
      </c>
      <c r="R20" s="13">
        <f>NBA_City_WCS[[#This Row],[Metro Population Weighted Score (20%)]]*0.2 + NBA_City_WCS[[#This Row],[Population Growth Weighted Score (15%)]]*0.15 + NBA_City_WCS[[#This Row],[Per Capita Income Weighted Score (15%)]]*0.15 + NBA_City_WCS[[#This Row],[TV Market Rank Weighted Score (10%)]]*0.1 + NBA_City_WCS[[#This Row],[Google Trend Weighted Score (10%)]]*0.1 + NBA_City_WCS[[#This Row],[Demographic Weighted Score (10%)]]*0.1 + NBA_City_WCS[[#This Row],[Arena Criteria (10%)]]*0.1 +NBA_City_WCS[[#This Row],[Fortune 500 HQ''s Score (10%)]]*0.1</f>
        <v>15.331986774675912</v>
      </c>
    </row>
    <row r="21" spans="1:18">
      <c r="A21" s="23" t="s">
        <v>160</v>
      </c>
      <c r="B21" s="17" t="s">
        <v>94</v>
      </c>
      <c r="C21" s="24">
        <f>VLOOKUP(NBA_Teams_Data[[#This Row],[City Name]],USA_Metro_Population_Lookup[],2,FALSE)</f>
        <v>19940274</v>
      </c>
      <c r="D21" s="81">
        <f>(NBA_City_WCS[[#This Row],[Metro Population 2024]]-MIN(NBA_City_WCS[Metro Population 2024]))/(MAX(NBA_City_WCS[Metro Population 2024])-MIN(NBA_City_WCS[Metro Population 2024])) * 100</f>
        <v>100</v>
      </c>
      <c r="E21" s="68">
        <f>VLOOKUP(NBA_Teams_Data[[#This Row],[City Name]],USA_Metro_Population_Lookup[], 3, FALSE)</f>
        <v>-0.71</v>
      </c>
      <c r="F21" s="82">
        <f>(NBA_City_WCS[[#This Row],[Population Growth (% Change since 2020)]]-MIN(NBA_City_WCS[[#All],[Population Growth (% Change since 2020)]]))/(MAX(NBA_City_WCS[Population Growth (% Change since 2020)])-MIN(NBA_City_WCS[Population Growth (% Change since 2020)])) * 100</f>
        <v>23.897581792318636</v>
      </c>
      <c r="G21" s="36">
        <f>VLOOKUP(NBA_Teams_Data[[#This Row],[City Name]], Income_Data_Lookup[#All], 2, FALSE)</f>
        <v>91448</v>
      </c>
      <c r="H21" s="83">
        <f>(NBA_City_WCS[[#This Row],[Per Capita Personal Income (2023)]]-MIN(NBA_City_WCS[[#All],[Per Capita Personal Income (2023)]]))/(MAX(NBA_City_WCS[[#All],[Per Capita Personal Income (2023)]])-MIN(NBA_City_WCS[[#All],[Per Capita Personal Income (2023)]])) * 100</f>
        <v>46.322132794031241</v>
      </c>
      <c r="I21" s="17">
        <f>VLOOKUP(NBA_Teams_Data[[#This Row],[City Name]],Nielsen_TV_Market_Lookup[],2,FALSE)</f>
        <v>1</v>
      </c>
      <c r="J21" s="84">
        <f>(NBA_City_WCS[[#This Row],[Nielsen TV Market Rank]]-MAX(NBA_City_WCS[Nielsen TV Market Rank]))/(MIN(NBA_City_WCS[Nielsen TV Market Rank])-MAX(NBA_City_WCS[Nielsen TV Market Rank])) * 100</f>
        <v>100</v>
      </c>
      <c r="K21" s="17">
        <f>VLOOKUP(NBA_Teams_Data[[#This Row],[City Name]],Google_Trend_Score[#All], 2, FALSE)</f>
        <v>62</v>
      </c>
      <c r="L21" s="84">
        <f>(NBA_City_WCS[[#This Row],[NBA Google Analytic Trend Score (0-100)]]-MIN(NBA_City_WCS[NBA Google Analytic Trend Score (0-100)]))/(MAX(NBA_City_WCS[NBA Google Analytic Trend Score (0-100)])-MIN(NBA_City_WCS[NBA Google Analytic Trend Score (0-100)])) * 100</f>
        <v>36.585365853658537</v>
      </c>
      <c r="M21" s="50">
        <f>VLOOKUP(NBA_Teams_Data[[#This Row],[City Name]],Demographic_Data_Lookup12[#All], 2, FALSE)</f>
        <v>39.5</v>
      </c>
      <c r="N21" s="85">
        <f>(NBA_City_WCS[[#This Row],[Demographic Data (15 - 44 Age Group)]]-MIN(NBA_City_WCS[Demographic Data (15 - 44 Age Group)]))/(MAX(NBA_City_WCS[Demographic Data (15 - 44 Age Group)])-MIN(NBA_City_WCS[Demographic Data (15 - 44 Age Group)])) * 100</f>
        <v>27.710843373493947</v>
      </c>
      <c r="O21">
        <v>100</v>
      </c>
      <c r="P21" s="17">
        <f>COUNTIF(Fortune_500_Companies_Lookup[City],NBA_Teams_Data[[#This Row],[City Name]])</f>
        <v>72</v>
      </c>
      <c r="Q21" s="86">
        <f>NBA_City_WCS[[#This Row],[Fortune 500 HQ''s]]/72 * 100</f>
        <v>100</v>
      </c>
      <c r="R21" s="13">
        <f>NBA_City_WCS[[#This Row],[Metro Population Weighted Score (20%)]]*0.2 + NBA_City_WCS[[#This Row],[Population Growth Weighted Score (15%)]]*0.15 + NBA_City_WCS[[#This Row],[Per Capita Income Weighted Score (15%)]]*0.15 + NBA_City_WCS[[#This Row],[TV Market Rank Weighted Score (10%)]]*0.1 + NBA_City_WCS[[#This Row],[Google Trend Weighted Score (10%)]]*0.1 + NBA_City_WCS[[#This Row],[Demographic Weighted Score (10%)]]*0.1 + NBA_City_WCS[[#This Row],[Arena Criteria (10%)]]*0.1 +NBA_City_WCS[[#This Row],[Fortune 500 HQ''s Score (10%)]]*0.1</f>
        <v>66.962578110667721</v>
      </c>
    </row>
    <row r="22" spans="1:18">
      <c r="A22" s="46" t="s">
        <v>163</v>
      </c>
      <c r="B22" s="44" t="s">
        <v>164</v>
      </c>
      <c r="C22" s="59">
        <f>VLOOKUP(NBA_Teams_Data[[#This Row],[City Name]],USA_Metro_Population_Lookup[],2,FALSE)</f>
        <v>1497821</v>
      </c>
      <c r="D22" s="81">
        <f>(NBA_City_WCS[[#This Row],[Metro Population 2024]]-MIN(NBA_City_WCS[Metro Population 2024]))/(MAX(NBA_City_WCS[Metro Population 2024])-MIN(NBA_City_WCS[Metro Population 2024])) * 100</f>
        <v>2.8016747510441102</v>
      </c>
      <c r="E22" s="78">
        <f>VLOOKUP(NBA_Teams_Data[[#This Row],[City Name]],USA_Metro_Population_Lookup[], 3, FALSE)</f>
        <v>5.0599999999999996</v>
      </c>
      <c r="F22" s="82">
        <f>(NBA_City_WCS[[#This Row],[Population Growth (% Change since 2020)]]-MIN(NBA_City_WCS[[#All],[Population Growth (% Change since 2020)]]))/(MAX(NBA_City_WCS[Population Growth (% Change since 2020)])-MIN(NBA_City_WCS[Population Growth (% Change since 2020)])) * 100</f>
        <v>64.93598862019914</v>
      </c>
      <c r="G22" s="65">
        <f>VLOOKUP(NBA_Teams_Data[[#This Row],[City Name]], Income_Data_Lookup[#All], 2, FALSE)</f>
        <v>64468</v>
      </c>
      <c r="H22" s="83">
        <f>(NBA_City_WCS[[#This Row],[Per Capita Personal Income (2023)]]-MIN(NBA_City_WCS[[#All],[Per Capita Personal Income (2023)]]))/(MAX(NBA_City_WCS[[#All],[Per Capita Personal Income (2023)]])-MIN(NBA_City_WCS[[#All],[Per Capita Personal Income (2023)]])) * 100</f>
        <v>9.4546398655388693</v>
      </c>
      <c r="I22" s="44">
        <f>VLOOKUP(NBA_Teams_Data[[#This Row],[City Name]],Nielsen_TV_Market_Lookup[],2,FALSE)</f>
        <v>48</v>
      </c>
      <c r="J22" s="84">
        <f>(NBA_City_WCS[[#This Row],[Nielsen TV Market Rank]]-MAX(NBA_City_WCS[Nielsen TV Market Rank]))/(MIN(NBA_City_WCS[Nielsen TV Market Rank])-MAX(NBA_City_WCS[Nielsen TV Market Rank])) * 100</f>
        <v>7.8431372549019605</v>
      </c>
      <c r="K22" s="44">
        <f>VLOOKUP(NBA_Teams_Data[[#This Row],[City Name]],Google_Trend_Score[#All], 2, FALSE)</f>
        <v>78</v>
      </c>
      <c r="L22" s="84">
        <f>(NBA_City_WCS[[#This Row],[NBA Google Analytic Trend Score (0-100)]]-MIN(NBA_City_WCS[NBA Google Analytic Trend Score (0-100)]))/(MAX(NBA_City_WCS[NBA Google Analytic Trend Score (0-100)])-MIN(NBA_City_WCS[NBA Google Analytic Trend Score (0-100)])) * 100</f>
        <v>75.609756097560975</v>
      </c>
      <c r="M22" s="80">
        <f>VLOOKUP(NBA_Teams_Data[[#This Row],[City Name]],Demographic_Data_Lookup12[#All], 2, FALSE)</f>
        <v>42.7</v>
      </c>
      <c r="N22" s="85">
        <f>(NBA_City_WCS[[#This Row],[Demographic Data (15 - 44 Age Group)]]-MIN(NBA_City_WCS[Demographic Data (15 - 44 Age Group)]))/(MAX(NBA_City_WCS[Demographic Data (15 - 44 Age Group)])-MIN(NBA_City_WCS[Demographic Data (15 - 44 Age Group)])) * 100</f>
        <v>66.265060240963876</v>
      </c>
      <c r="O22">
        <v>100</v>
      </c>
      <c r="P22" s="44">
        <f>COUNTIF(Fortune_500_Companies_Lookup[City],NBA_Teams_Data[[#This Row],[City Name]])</f>
        <v>1</v>
      </c>
      <c r="Q22" s="86">
        <f>NBA_City_WCS[[#This Row],[Fortune 500 HQ''s]]/72 * 100</f>
        <v>1.3888888888888888</v>
      </c>
      <c r="R22" s="13">
        <f>NBA_City_WCS[[#This Row],[Metro Population Weighted Score (20%)]]*0.2 + NBA_City_WCS[[#This Row],[Population Growth Weighted Score (15%)]]*0.15 + NBA_City_WCS[[#This Row],[Per Capita Income Weighted Score (15%)]]*0.15 + NBA_City_WCS[[#This Row],[TV Market Rank Weighted Score (10%)]]*0.1 + NBA_City_WCS[[#This Row],[Google Trend Weighted Score (10%)]]*0.1 + NBA_City_WCS[[#This Row],[Demographic Weighted Score (10%)]]*0.1 + NBA_City_WCS[[#This Row],[Arena Criteria (10%)]]*0.1 +NBA_City_WCS[[#This Row],[Fortune 500 HQ''s Score (10%)]]*0.1</f>
        <v>36.829613471301094</v>
      </c>
    </row>
    <row r="23" spans="1:18">
      <c r="A23" s="23" t="s">
        <v>167</v>
      </c>
      <c r="B23" s="17" t="s">
        <v>168</v>
      </c>
      <c r="C23" s="24">
        <f>VLOOKUP(NBA_Teams_Data[[#This Row],[City Name]],USA_Metro_Population_Lookup[],2,FALSE)</f>
        <v>2940513</v>
      </c>
      <c r="D23" s="81">
        <f>(NBA_City_WCS[[#This Row],[Metro Population 2024]]-MIN(NBA_City_WCS[Metro Population 2024]))/(MAX(NBA_City_WCS[Metro Population 2024])-MIN(NBA_City_WCS[Metro Population 2024])) * 100</f>
        <v>10.405177725950249</v>
      </c>
      <c r="E23" s="68">
        <f>VLOOKUP(NBA_Teams_Data[[#This Row],[City Name]],USA_Metro_Population_Lookup[], 3, FALSE)</f>
        <v>9.99</v>
      </c>
      <c r="F23" s="82">
        <f>(NBA_City_WCS[[#This Row],[Population Growth (% Change since 2020)]]-MIN(NBA_City_WCS[[#All],[Population Growth (% Change since 2020)]]))/(MAX(NBA_City_WCS[Population Growth (% Change since 2020)])-MIN(NBA_City_WCS[Population Growth (% Change since 2020)])) * 100</f>
        <v>100</v>
      </c>
      <c r="G23" s="36">
        <f>VLOOKUP(NBA_Teams_Data[[#This Row],[City Name]], Income_Data_Lookup[#All], 2, FALSE)</f>
        <v>57774</v>
      </c>
      <c r="H23" s="83">
        <f>(NBA_City_WCS[[#This Row],[Per Capita Personal Income (2023)]]-MIN(NBA_City_WCS[[#All],[Per Capita Personal Income (2023)]]))/(MAX(NBA_City_WCS[[#All],[Per Capita Personal Income (2023)]])-MIN(NBA_City_WCS[[#All],[Per Capita Personal Income (2023)]])) * 100</f>
        <v>0.30745685355488445</v>
      </c>
      <c r="I23" s="17">
        <f>VLOOKUP(NBA_Teams_Data[[#This Row],[City Name]],Nielsen_TV_Market_Lookup[],2,FALSE)</f>
        <v>16</v>
      </c>
      <c r="J23" s="84">
        <f>(NBA_City_WCS[[#This Row],[Nielsen TV Market Rank]]-MAX(NBA_City_WCS[Nielsen TV Market Rank]))/(MIN(NBA_City_WCS[Nielsen TV Market Rank])-MAX(NBA_City_WCS[Nielsen TV Market Rank])) * 100</f>
        <v>70.588235294117652</v>
      </c>
      <c r="K23" s="17">
        <f>VLOOKUP(NBA_Teams_Data[[#This Row],[City Name]],Google_Trend_Score[#All], 2, FALSE)</f>
        <v>54</v>
      </c>
      <c r="L23" s="84">
        <f>(NBA_City_WCS[[#This Row],[NBA Google Analytic Trend Score (0-100)]]-MIN(NBA_City_WCS[NBA Google Analytic Trend Score (0-100)]))/(MAX(NBA_City_WCS[NBA Google Analytic Trend Score (0-100)])-MIN(NBA_City_WCS[NBA Google Analytic Trend Score (0-100)])) * 100</f>
        <v>17.073170731707318</v>
      </c>
      <c r="M23" s="50">
        <f>VLOOKUP(NBA_Teams_Data[[#This Row],[City Name]],Demographic_Data_Lookup12[#All], 2, FALSE)</f>
        <v>41.9</v>
      </c>
      <c r="N23" s="85">
        <f>(NBA_City_WCS[[#This Row],[Demographic Data (15 - 44 Age Group)]]-MIN(NBA_City_WCS[Demographic Data (15 - 44 Age Group)]))/(MAX(NBA_City_WCS[Demographic Data (15 - 44 Age Group)])-MIN(NBA_City_WCS[Demographic Data (15 - 44 Age Group)])) * 100</f>
        <v>56.626506024096358</v>
      </c>
      <c r="O23">
        <v>100</v>
      </c>
      <c r="P23" s="17">
        <f>COUNTIF(Fortune_500_Companies_Lookup[City],NBA_Teams_Data[[#This Row],[City Name]])</f>
        <v>1</v>
      </c>
      <c r="Q23" s="86">
        <f>NBA_City_WCS[[#This Row],[Fortune 500 HQ''s]]/72 * 100</f>
        <v>1.3888888888888888</v>
      </c>
      <c r="R23" s="13">
        <f>NBA_City_WCS[[#This Row],[Metro Population Weighted Score (20%)]]*0.2 + NBA_City_WCS[[#This Row],[Population Growth Weighted Score (15%)]]*0.15 + NBA_City_WCS[[#This Row],[Per Capita Income Weighted Score (15%)]]*0.15 + NBA_City_WCS[[#This Row],[TV Market Rank Weighted Score (10%)]]*0.1 + NBA_City_WCS[[#This Row],[Google Trend Weighted Score (10%)]]*0.1 + NBA_City_WCS[[#This Row],[Demographic Weighted Score (10%)]]*0.1 + NBA_City_WCS[[#This Row],[Arena Criteria (10%)]]*0.1 +NBA_City_WCS[[#This Row],[Fortune 500 HQ''s Score (10%)]]*0.1</f>
        <v>41.694834167104304</v>
      </c>
    </row>
    <row r="24" spans="1:18">
      <c r="A24" s="46" t="s">
        <v>171</v>
      </c>
      <c r="B24" s="44" t="s">
        <v>172</v>
      </c>
      <c r="C24" s="59">
        <f>VLOOKUP(NBA_Teams_Data[[#This Row],[City Name]],USA_Metro_Population_Lookup[],2,FALSE)</f>
        <v>6330422</v>
      </c>
      <c r="D24" s="81">
        <f>(NBA_City_WCS[[#This Row],[Metro Population 2024]]-MIN(NBA_City_WCS[Metro Population 2024]))/(MAX(NBA_City_WCS[Metro Population 2024])-MIN(NBA_City_WCS[Metro Population 2024])) * 100</f>
        <v>28.271210923722954</v>
      </c>
      <c r="E24" s="78">
        <f>VLOOKUP(NBA_Teams_Data[[#This Row],[City Name]],USA_Metro_Population_Lookup[], 3, FALSE)</f>
        <v>1.37</v>
      </c>
      <c r="F24" s="82">
        <f>(NBA_City_WCS[[#This Row],[Population Growth (% Change since 2020)]]-MIN(NBA_City_WCS[[#All],[Population Growth (% Change since 2020)]]))/(MAX(NBA_City_WCS[Population Growth (% Change since 2020)])-MIN(NBA_City_WCS[Population Growth (% Change since 2020)])) * 100</f>
        <v>38.691322901849219</v>
      </c>
      <c r="G24" s="65">
        <f>VLOOKUP(NBA_Teams_Data[[#This Row],[City Name]], Income_Data_Lookup[#All], 2, FALSE)</f>
        <v>78761</v>
      </c>
      <c r="H24" s="83">
        <f>(NBA_City_WCS[[#This Row],[Per Capita Personal Income (2023)]]-MIN(NBA_City_WCS[[#All],[Per Capita Personal Income (2023)]]))/(MAX(NBA_City_WCS[[#All],[Per Capita Personal Income (2023)]])-MIN(NBA_City_WCS[[#All],[Per Capita Personal Income (2023)]])) * 100</f>
        <v>28.985665678249816</v>
      </c>
      <c r="I24" s="44">
        <f>VLOOKUP(NBA_Teams_Data[[#This Row],[City Name]],Nielsen_TV_Market_Lookup[],2,FALSE)</f>
        <v>5</v>
      </c>
      <c r="J24" s="84">
        <f>(NBA_City_WCS[[#This Row],[Nielsen TV Market Rank]]-MAX(NBA_City_WCS[Nielsen TV Market Rank]))/(MIN(NBA_City_WCS[Nielsen TV Market Rank])-MAX(NBA_City_WCS[Nielsen TV Market Rank])) * 100</f>
        <v>92.156862745098039</v>
      </c>
      <c r="K24" s="44">
        <f>VLOOKUP(NBA_Teams_Data[[#This Row],[City Name]],Google_Trend_Score[#All], 2, FALSE)</f>
        <v>57</v>
      </c>
      <c r="L24" s="84">
        <f>(NBA_City_WCS[[#This Row],[NBA Google Analytic Trend Score (0-100)]]-MIN(NBA_City_WCS[NBA Google Analytic Trend Score (0-100)]))/(MAX(NBA_City_WCS[NBA Google Analytic Trend Score (0-100)])-MIN(NBA_City_WCS[NBA Google Analytic Trend Score (0-100)])) * 100</f>
        <v>24.390243902439025</v>
      </c>
      <c r="M24" s="80">
        <f>VLOOKUP(NBA_Teams_Data[[#This Row],[City Name]],Demographic_Data_Lookup12[#All], 2, FALSE)</f>
        <v>39.9</v>
      </c>
      <c r="N24" s="85">
        <f>(NBA_City_WCS[[#This Row],[Demographic Data (15 - 44 Age Group)]]-MIN(NBA_City_WCS[Demographic Data (15 - 44 Age Group)]))/(MAX(NBA_City_WCS[Demographic Data (15 - 44 Age Group)])-MIN(NBA_City_WCS[Demographic Data (15 - 44 Age Group)])) * 100</f>
        <v>32.530120481927668</v>
      </c>
      <c r="O24">
        <v>100</v>
      </c>
      <c r="P24" s="44">
        <f>COUNTIF(Fortune_500_Companies_Lookup[City],NBA_Teams_Data[[#This Row],[City Name]])</f>
        <v>9</v>
      </c>
      <c r="Q24" s="86">
        <f>NBA_City_WCS[[#This Row],[Fortune 500 HQ''s]]/72 * 100</f>
        <v>12.5</v>
      </c>
      <c r="R24" s="13">
        <f>NBA_City_WCS[[#This Row],[Metro Population Weighted Score (20%)]]*0.2 + NBA_City_WCS[[#This Row],[Population Growth Weighted Score (15%)]]*0.15 + NBA_City_WCS[[#This Row],[Per Capita Income Weighted Score (15%)]]*0.15 + NBA_City_WCS[[#This Row],[TV Market Rank Weighted Score (10%)]]*0.1 + NBA_City_WCS[[#This Row],[Google Trend Weighted Score (10%)]]*0.1 + NBA_City_WCS[[#This Row],[Demographic Weighted Score (10%)]]*0.1 + NBA_City_WCS[[#This Row],[Arena Criteria (10%)]]*0.1 +NBA_City_WCS[[#This Row],[Fortune 500 HQ''s Score (10%)]]*0.1</f>
        <v>41.963513184705917</v>
      </c>
    </row>
    <row r="25" spans="1:18">
      <c r="A25" s="23" t="s">
        <v>175</v>
      </c>
      <c r="B25" s="17" t="s">
        <v>176</v>
      </c>
      <c r="C25" s="24">
        <f>VLOOKUP(NBA_Teams_Data[[#This Row],[City Name]],USA_Metro_Population_Lookup[],2,FALSE)</f>
        <v>5186958</v>
      </c>
      <c r="D25" s="81">
        <f>(NBA_City_WCS[[#This Row],[Metro Population 2024]]-MIN(NBA_City_WCS[Metro Population 2024]))/(MAX(NBA_City_WCS[Metro Population 2024])-MIN(NBA_City_WCS[Metro Population 2024])) * 100</f>
        <v>22.244746560090196</v>
      </c>
      <c r="E25" s="68">
        <f>VLOOKUP(NBA_Teams_Data[[#This Row],[City Name]],USA_Metro_Population_Lookup[], 3, FALSE)</f>
        <v>7.04</v>
      </c>
      <c r="F25" s="82">
        <f>(NBA_City_WCS[[#This Row],[Population Growth (% Change since 2020)]]-MIN(NBA_City_WCS[[#All],[Population Growth (% Change since 2020)]]))/(MAX(NBA_City_WCS[Population Growth (% Change since 2020)])-MIN(NBA_City_WCS[Population Growth (% Change since 2020)])) * 100</f>
        <v>79.018492176386914</v>
      </c>
      <c r="G25" s="36">
        <f>VLOOKUP(NBA_Teams_Data[[#This Row],[City Name]], Income_Data_Lookup[#All], 2, FALSE)</f>
        <v>66365</v>
      </c>
      <c r="H25" s="83">
        <f>(NBA_City_WCS[[#This Row],[Per Capita Personal Income (2023)]]-MIN(NBA_City_WCS[[#All],[Per Capita Personal Income (2023)]]))/(MAX(NBA_City_WCS[[#All],[Per Capita Personal Income (2023)]])-MIN(NBA_City_WCS[[#All],[Per Capita Personal Income (2023)]])) * 100</f>
        <v>12.046842759732717</v>
      </c>
      <c r="I25" s="17">
        <f>VLOOKUP(NBA_Teams_Data[[#This Row],[City Name]],Nielsen_TV_Market_Lookup[],2,FALSE)</f>
        <v>13</v>
      </c>
      <c r="J25" s="84">
        <f>(NBA_City_WCS[[#This Row],[Nielsen TV Market Rank]]-MAX(NBA_City_WCS[Nielsen TV Market Rank]))/(MIN(NBA_City_WCS[Nielsen TV Market Rank])-MAX(NBA_City_WCS[Nielsen TV Market Rank])) * 100</f>
        <v>76.470588235294116</v>
      </c>
      <c r="K25" s="17">
        <f>VLOOKUP(NBA_Teams_Data[[#This Row],[City Name]],Google_Trend_Score[#All], 2, FALSE)</f>
        <v>59</v>
      </c>
      <c r="L25" s="84">
        <f>(NBA_City_WCS[[#This Row],[NBA Google Analytic Trend Score (0-100)]]-MIN(NBA_City_WCS[NBA Google Analytic Trend Score (0-100)]))/(MAX(NBA_City_WCS[NBA Google Analytic Trend Score (0-100)])-MIN(NBA_City_WCS[NBA Google Analytic Trend Score (0-100)])) * 100</f>
        <v>29.268292682926827</v>
      </c>
      <c r="M25" s="50">
        <f>VLOOKUP(NBA_Teams_Data[[#This Row],[City Name]],Demographic_Data_Lookup12[#All], 2, FALSE)</f>
        <v>41.2</v>
      </c>
      <c r="N25" s="85">
        <f>(NBA_City_WCS[[#This Row],[Demographic Data (15 - 44 Age Group)]]-MIN(NBA_City_WCS[Demographic Data (15 - 44 Age Group)]))/(MAX(NBA_City_WCS[Demographic Data (15 - 44 Age Group)])-MIN(NBA_City_WCS[Demographic Data (15 - 44 Age Group)])) * 100</f>
        <v>48.192771084337366</v>
      </c>
      <c r="O25">
        <v>100</v>
      </c>
      <c r="P25" s="17">
        <f>COUNTIF(Fortune_500_Companies_Lookup[City],NBA_Teams_Data[[#This Row],[City Name]])</f>
        <v>9</v>
      </c>
      <c r="Q25" s="86">
        <f>NBA_City_WCS[[#This Row],[Fortune 500 HQ''s]]/72 * 100</f>
        <v>12.5</v>
      </c>
      <c r="R25" s="13">
        <f>NBA_City_WCS[[#This Row],[Metro Population Weighted Score (20%)]]*0.2 + NBA_City_WCS[[#This Row],[Population Growth Weighted Score (15%)]]*0.15 + NBA_City_WCS[[#This Row],[Per Capita Income Weighted Score (15%)]]*0.15 + NBA_City_WCS[[#This Row],[TV Market Rank Weighted Score (10%)]]*0.1 + NBA_City_WCS[[#This Row],[Google Trend Weighted Score (10%)]]*0.1 + NBA_City_WCS[[#This Row],[Demographic Weighted Score (10%)]]*0.1 + NBA_City_WCS[[#This Row],[Arena Criteria (10%)]]*0.1 +NBA_City_WCS[[#This Row],[Fortune 500 HQ''s Score (10%)]]*0.1</f>
        <v>44.751914752691818</v>
      </c>
    </row>
    <row r="26" spans="1:18">
      <c r="A26" s="46" t="s">
        <v>179</v>
      </c>
      <c r="B26" s="44" t="s">
        <v>180</v>
      </c>
      <c r="C26" s="59">
        <f>VLOOKUP(NBA_Teams_Data[[#This Row],[City Name]],USA_Metro_Population_Lookup[],2,FALSE)</f>
        <v>2537904</v>
      </c>
      <c r="D26" s="81">
        <f>(NBA_City_WCS[[#This Row],[Metro Population 2024]]-MIN(NBA_City_WCS[Metro Population 2024]))/(MAX(NBA_City_WCS[Metro Population 2024])-MIN(NBA_City_WCS[Metro Population 2024])) * 100</f>
        <v>8.2832842592754616</v>
      </c>
      <c r="E26" s="78">
        <f>VLOOKUP(NBA_Teams_Data[[#This Row],[City Name]],USA_Metro_Population_Lookup[], 3, FALSE)</f>
        <v>1</v>
      </c>
      <c r="F26" s="82">
        <f>(NBA_City_WCS[[#This Row],[Population Growth (% Change since 2020)]]-MIN(NBA_City_WCS[[#All],[Population Growth (% Change since 2020)]]))/(MAX(NBA_City_WCS[Population Growth (% Change since 2020)])-MIN(NBA_City_WCS[Population Growth (% Change since 2020)])) * 100</f>
        <v>36.059743954480801</v>
      </c>
      <c r="G26" s="65">
        <f>VLOOKUP(NBA_Teams_Data[[#This Row],[City Name]], Income_Data_Lookup[#All], 2, FALSE)</f>
        <v>74992</v>
      </c>
      <c r="H26" s="83">
        <f>(NBA_City_WCS[[#This Row],[Per Capita Personal Income (2023)]]-MIN(NBA_City_WCS[[#All],[Per Capita Personal Income (2023)]]))/(MAX(NBA_City_WCS[[#All],[Per Capita Personal Income (2023)]])-MIN(NBA_City_WCS[[#All],[Per Capita Personal Income (2023)]])) * 100</f>
        <v>23.835421762479331</v>
      </c>
      <c r="I26" s="44">
        <f>VLOOKUP(NBA_Teams_Data[[#This Row],[City Name]],Nielsen_TV_Market_Lookup[],2,FALSE)</f>
        <v>24</v>
      </c>
      <c r="J26" s="84">
        <f>(NBA_City_WCS[[#This Row],[Nielsen TV Market Rank]]-MAX(NBA_City_WCS[Nielsen TV Market Rank]))/(MIN(NBA_City_WCS[Nielsen TV Market Rank])-MAX(NBA_City_WCS[Nielsen TV Market Rank])) * 100</f>
        <v>54.901960784313729</v>
      </c>
      <c r="K26" s="44">
        <f>VLOOKUP(NBA_Teams_Data[[#This Row],[City Name]],Google_Trend_Score[#All], 2, FALSE)</f>
        <v>51</v>
      </c>
      <c r="L26" s="84">
        <f>(NBA_City_WCS[[#This Row],[NBA Google Analytic Trend Score (0-100)]]-MIN(NBA_City_WCS[NBA Google Analytic Trend Score (0-100)]))/(MAX(NBA_City_WCS[NBA Google Analytic Trend Score (0-100)])-MIN(NBA_City_WCS[NBA Google Analytic Trend Score (0-100)])) * 100</f>
        <v>9.7560975609756095</v>
      </c>
      <c r="M26" s="80">
        <f>VLOOKUP(NBA_Teams_Data[[#This Row],[City Name]],Demographic_Data_Lookup12[#All], 2, FALSE)</f>
        <v>42.1</v>
      </c>
      <c r="N26" s="85">
        <f>(NBA_City_WCS[[#This Row],[Demographic Data (15 - 44 Age Group)]]-MIN(NBA_City_WCS[Demographic Data (15 - 44 Age Group)]))/(MAX(NBA_City_WCS[Demographic Data (15 - 44 Age Group)])-MIN(NBA_City_WCS[Demographic Data (15 - 44 Age Group)])) * 100</f>
        <v>59.036144578313255</v>
      </c>
      <c r="O26">
        <v>100</v>
      </c>
      <c r="P26" s="44">
        <f>COUNTIF(Fortune_500_Companies_Lookup[City],NBA_Teams_Data[[#This Row],[City Name]])</f>
        <v>1</v>
      </c>
      <c r="Q26" s="86">
        <f>NBA_City_WCS[[#This Row],[Fortune 500 HQ''s]]/72 * 100</f>
        <v>1.3888888888888888</v>
      </c>
      <c r="R26" s="13">
        <f>NBA_City_WCS[[#This Row],[Metro Population Weighted Score (20%)]]*0.2 + NBA_City_WCS[[#This Row],[Population Growth Weighted Score (15%)]]*0.15 + NBA_City_WCS[[#This Row],[Per Capita Income Weighted Score (15%)]]*0.15 + NBA_City_WCS[[#This Row],[TV Market Rank Weighted Score (10%)]]*0.1 + NBA_City_WCS[[#This Row],[Google Trend Weighted Score (10%)]]*0.1 + NBA_City_WCS[[#This Row],[Demographic Weighted Score (10%)]]*0.1 + NBA_City_WCS[[#This Row],[Arena Criteria (10%)]]*0.1 +NBA_City_WCS[[#This Row],[Fortune 500 HQ''s Score (10%)]]*0.1</f>
        <v>33.149240890648258</v>
      </c>
    </row>
    <row r="27" spans="1:18">
      <c r="A27" s="23" t="s">
        <v>183</v>
      </c>
      <c r="B27" s="17" t="s">
        <v>184</v>
      </c>
      <c r="C27" s="24">
        <f>VLOOKUP(NBA_Teams_Data[[#This Row],[City Name]],USA_Metro_Population_Lookup[],2,FALSE)</f>
        <v>2463127</v>
      </c>
      <c r="D27" s="81">
        <f>(NBA_City_WCS[[#This Row],[Metro Population 2024]]-MIN(NBA_City_WCS[Metro Population 2024]))/(MAX(NBA_City_WCS[Metro Population 2024])-MIN(NBA_City_WCS[Metro Population 2024])) * 100</f>
        <v>7.8891827171898621</v>
      </c>
      <c r="E27" s="68">
        <f>VLOOKUP(NBA_Teams_Data[[#This Row],[City Name]],USA_Metro_Population_Lookup[], 3, FALSE)</f>
        <v>2.74</v>
      </c>
      <c r="F27" s="82">
        <f>(NBA_City_WCS[[#This Row],[Population Growth (% Change since 2020)]]-MIN(NBA_City_WCS[[#All],[Population Growth (% Change since 2020)]]))/(MAX(NBA_City_WCS[Population Growth (% Change since 2020)])-MIN(NBA_City_WCS[Population Growth (% Change since 2020)])) * 100</f>
        <v>48.435277382645808</v>
      </c>
      <c r="G27" s="36">
        <f>VLOOKUP(NBA_Teams_Data[[#This Row],[City Name]], Income_Data_Lookup[#All], 2, FALSE)</f>
        <v>70418</v>
      </c>
      <c r="H27" s="83">
        <f>(NBA_City_WCS[[#This Row],[Per Capita Personal Income (2023)]]-MIN(NBA_City_WCS[[#All],[Per Capita Personal Income (2023)]]))/(MAX(NBA_City_WCS[[#All],[Per Capita Personal Income (2023)]])-MIN(NBA_City_WCS[[#All],[Per Capita Personal Income (2023)]])) * 100</f>
        <v>17.585165548434702</v>
      </c>
      <c r="I27" s="17">
        <f>VLOOKUP(NBA_Teams_Data[[#This Row],[City Name]],Nielsen_TV_Market_Lookup[],2,FALSE)</f>
        <v>21</v>
      </c>
      <c r="J27" s="84">
        <f>(NBA_City_WCS[[#This Row],[Nielsen TV Market Rank]]-MAX(NBA_City_WCS[Nielsen TV Market Rank]))/(MIN(NBA_City_WCS[Nielsen TV Market Rank])-MAX(NBA_City_WCS[Nielsen TV Market Rank])) * 100</f>
        <v>60.784313725490193</v>
      </c>
      <c r="K27" s="17">
        <f>VLOOKUP(NBA_Teams_Data[[#This Row],[City Name]],Google_Trend_Score[#All], 2, FALSE)</f>
        <v>88</v>
      </c>
      <c r="L27" s="84">
        <f>(NBA_City_WCS[[#This Row],[NBA Google Analytic Trend Score (0-100)]]-MIN(NBA_City_WCS[NBA Google Analytic Trend Score (0-100)]))/(MAX(NBA_City_WCS[NBA Google Analytic Trend Score (0-100)])-MIN(NBA_City_WCS[NBA Google Analytic Trend Score (0-100)])) * 100</f>
        <v>100</v>
      </c>
      <c r="M27" s="50">
        <f>VLOOKUP(NBA_Teams_Data[[#This Row],[City Name]],Demographic_Data_Lookup12[#All], 2, FALSE)</f>
        <v>40.9</v>
      </c>
      <c r="N27" s="85">
        <f>(NBA_City_WCS[[#This Row],[Demographic Data (15 - 44 Age Group)]]-MIN(NBA_City_WCS[Demographic Data (15 - 44 Age Group)]))/(MAX(NBA_City_WCS[Demographic Data (15 - 44 Age Group)])-MIN(NBA_City_WCS[Demographic Data (15 - 44 Age Group)])) * 100</f>
        <v>44.578313253012013</v>
      </c>
      <c r="O27">
        <v>100</v>
      </c>
      <c r="P27" s="17">
        <f>COUNTIF(Fortune_500_Companies_Lookup[City],NBA_Teams_Data[[#This Row],[City Name]])</f>
        <v>0</v>
      </c>
      <c r="Q27" s="86">
        <f>NBA_City_WCS[[#This Row],[Fortune 500 HQ''s]]/72 * 100</f>
        <v>0</v>
      </c>
      <c r="R27" s="13">
        <f>NBA_City_WCS[[#This Row],[Metro Population Weighted Score (20%)]]*0.2 + NBA_City_WCS[[#This Row],[Population Growth Weighted Score (15%)]]*0.15 + NBA_City_WCS[[#This Row],[Per Capita Income Weighted Score (15%)]]*0.15 + NBA_City_WCS[[#This Row],[TV Market Rank Weighted Score (10%)]]*0.1 + NBA_City_WCS[[#This Row],[Google Trend Weighted Score (10%)]]*0.1 + NBA_City_WCS[[#This Row],[Demographic Weighted Score (10%)]]*0.1 + NBA_City_WCS[[#This Row],[Arena Criteria (10%)]]*0.1 +NBA_City_WCS[[#This Row],[Fortune 500 HQ''s Score (10%)]]*0.1</f>
        <v>42.017165680950271</v>
      </c>
    </row>
    <row r="28" spans="1:18">
      <c r="A28" s="46" t="s">
        <v>187</v>
      </c>
      <c r="B28" s="44" t="s">
        <v>188</v>
      </c>
      <c r="C28" s="59">
        <f>VLOOKUP(NBA_Teams_Data[[#This Row],[City Name]],USA_Metro_Population_Lookup[],2,FALSE)</f>
        <v>2763006</v>
      </c>
      <c r="D28" s="81">
        <f>(NBA_City_WCS[[#This Row],[Metro Population 2024]]-MIN(NBA_City_WCS[Metro Population 2024]))/(MAX(NBA_City_WCS[Metro Population 2024])-MIN(NBA_City_WCS[Metro Population 2024])) * 100</f>
        <v>9.4696523313638359</v>
      </c>
      <c r="E28" s="78">
        <f>VLOOKUP(NBA_Teams_Data[[#This Row],[City Name]],USA_Metro_Population_Lookup[], 3, FALSE)</f>
        <v>8.01</v>
      </c>
      <c r="F28" s="82">
        <f>(NBA_City_WCS[[#This Row],[Population Growth (% Change since 2020)]]-MIN(NBA_City_WCS[[#All],[Population Growth (% Change since 2020)]]))/(MAX(NBA_City_WCS[Population Growth (% Change since 2020)])-MIN(NBA_City_WCS[Population Growth (% Change since 2020)])) * 100</f>
        <v>85.91749644381224</v>
      </c>
      <c r="G28" s="65">
        <f>VLOOKUP(NBA_Teams_Data[[#This Row],[City Name]], Income_Data_Lookup[#All], 2, FALSE)</f>
        <v>59477</v>
      </c>
      <c r="H28" s="83">
        <f>(NBA_City_WCS[[#This Row],[Per Capita Personal Income (2023)]]-MIN(NBA_City_WCS[[#All],[Per Capita Personal Income (2023)]]))/(MAX(NBA_City_WCS[[#All],[Per Capita Personal Income (2023)]])-MIN(NBA_City_WCS[[#All],[Per Capita Personal Income (2023)]])) * 100</f>
        <v>2.6345636162391877</v>
      </c>
      <c r="I28" s="44">
        <f>VLOOKUP(NBA_Teams_Data[[#This Row],[City Name]],Nielsen_TV_Market_Lookup[],2,FALSE)</f>
        <v>32</v>
      </c>
      <c r="J28" s="84">
        <f>(NBA_City_WCS[[#This Row],[Nielsen TV Market Rank]]-MAX(NBA_City_WCS[Nielsen TV Market Rank]))/(MIN(NBA_City_WCS[Nielsen TV Market Rank])-MAX(NBA_City_WCS[Nielsen TV Market Rank])) * 100</f>
        <v>39.215686274509807</v>
      </c>
      <c r="K28" s="44">
        <f>VLOOKUP(NBA_Teams_Data[[#This Row],[City Name]],Google_Trend_Score[#All], 2, FALSE)</f>
        <v>62</v>
      </c>
      <c r="L28" s="84">
        <f>(NBA_City_WCS[[#This Row],[NBA Google Analytic Trend Score (0-100)]]-MIN(NBA_City_WCS[NBA Google Analytic Trend Score (0-100)]))/(MAX(NBA_City_WCS[NBA Google Analytic Trend Score (0-100)])-MIN(NBA_City_WCS[NBA Google Analytic Trend Score (0-100)])) * 100</f>
        <v>36.585365853658537</v>
      </c>
      <c r="M28" s="80">
        <f>VLOOKUP(NBA_Teams_Data[[#This Row],[City Name]],Demographic_Data_Lookup12[#All], 2, FALSE)</f>
        <v>42.9</v>
      </c>
      <c r="N28" s="85">
        <f>(NBA_City_WCS[[#This Row],[Demographic Data (15 - 44 Age Group)]]-MIN(NBA_City_WCS[Demographic Data (15 - 44 Age Group)]))/(MAX(NBA_City_WCS[Demographic Data (15 - 44 Age Group)])-MIN(NBA_City_WCS[Demographic Data (15 - 44 Age Group)])) * 100</f>
        <v>68.674698795180703</v>
      </c>
      <c r="O28">
        <v>100</v>
      </c>
      <c r="P28" s="44">
        <f>COUNTIF(Fortune_500_Companies_Lookup[City],NBA_Teams_Data[[#This Row],[City Name]])</f>
        <v>3</v>
      </c>
      <c r="Q28" s="86">
        <f>NBA_City_WCS[[#This Row],[Fortune 500 HQ''s]]/72 * 100</f>
        <v>4.1666666666666661</v>
      </c>
      <c r="R28" s="13">
        <f>NBA_City_WCS[[#This Row],[Metro Population Weighted Score (20%)]]*0.2 + NBA_City_WCS[[#This Row],[Population Growth Weighted Score (15%)]]*0.15 + NBA_City_WCS[[#This Row],[Per Capita Income Weighted Score (15%)]]*0.15 + NBA_City_WCS[[#This Row],[TV Market Rank Weighted Score (10%)]]*0.1 + NBA_City_WCS[[#This Row],[Google Trend Weighted Score (10%)]]*0.1 + NBA_City_WCS[[#This Row],[Demographic Weighted Score (10%)]]*0.1 + NBA_City_WCS[[#This Row],[Arena Criteria (10%)]]*0.1 +NBA_City_WCS[[#This Row],[Fortune 500 HQ''s Score (10%)]]*0.1</f>
        <v>40.04098123428205</v>
      </c>
    </row>
    <row r="29" spans="1:18">
      <c r="A29" s="23" t="s">
        <v>191</v>
      </c>
      <c r="B29" s="17" t="s">
        <v>192</v>
      </c>
      <c r="C29" s="24">
        <f>VLOOKUP(NBA_Teams_Data[[#This Row],[City Name]],USA_Metro_Population_Lookup[],2,FALSE)</f>
        <v>7106379</v>
      </c>
      <c r="D29" s="81">
        <f>(NBA_City_WCS[[#This Row],[Metro Population 2024]]-MIN(NBA_City_WCS[Metro Population 2024]))/(MAX(NBA_City_WCS[Metro Population 2024])-MIN(NBA_City_WCS[Metro Population 2024])) * 100</f>
        <v>32.360781918709577</v>
      </c>
      <c r="E29" s="68">
        <f>VLOOKUP(NBA_Teams_Data[[#This Row],[City Name]],USA_Metro_Population_Lookup[], 3, FALSE)</f>
        <v>4.74</v>
      </c>
      <c r="F29" s="82">
        <f>(NBA_City_WCS[[#This Row],[Population Growth (% Change since 2020)]]-MIN(NBA_City_WCS[[#All],[Population Growth (% Change since 2020)]]))/(MAX(NBA_City_WCS[Population Growth (% Change since 2020)])-MIN(NBA_City_WCS[Population Growth (% Change since 2020)])) * 100</f>
        <v>62.660028449502136</v>
      </c>
      <c r="G29" s="36">
        <f>VLOOKUP(NBA_Teams_Data[[#This Row],[City Name]], Income_Data_Lookup[#All], 2, FALSE)</f>
        <v>57549</v>
      </c>
      <c r="H29" s="83">
        <f>(NBA_City_WCS[[#This Row],[Per Capita Personal Income (2023)]]-MIN(NBA_City_WCS[[#All],[Per Capita Personal Income (2023)]]))/(MAX(NBA_City_WCS[[#All],[Per Capita Personal Income (2023)]])-MIN(NBA_City_WCS[[#All],[Per Capita Personal Income (2023)]])) * 100</f>
        <v>0</v>
      </c>
      <c r="I29" s="17">
        <f>VLOOKUP(NBA_Teams_Data[[#This Row],[City Name]],Nielsen_TV_Market_Lookup[],2,FALSE)</f>
        <v>8</v>
      </c>
      <c r="J29" s="84">
        <f>(NBA_City_WCS[[#This Row],[Nielsen TV Market Rank]]-MAX(NBA_City_WCS[Nielsen TV Market Rank]))/(MIN(NBA_City_WCS[Nielsen TV Market Rank])-MAX(NBA_City_WCS[Nielsen TV Market Rank])) * 100</f>
        <v>86.274509803921575</v>
      </c>
      <c r="K29" s="17">
        <f>VLOOKUP(NBA_Teams_Data[[#This Row],[City Name]],Google_Trend_Score[#All], 2, FALSE)</f>
        <v>77</v>
      </c>
      <c r="L29" s="84">
        <f>(NBA_City_WCS[[#This Row],[NBA Google Analytic Trend Score (0-100)]]-MIN(NBA_City_WCS[NBA Google Analytic Trend Score (0-100)]))/(MAX(NBA_City_WCS[NBA Google Analytic Trend Score (0-100)])-MIN(NBA_City_WCS[NBA Google Analytic Trend Score (0-100)])) * 100</f>
        <v>73.170731707317074</v>
      </c>
      <c r="M29" s="50">
        <f>VLOOKUP(NBA_Teams_Data[[#This Row],[City Name]],Demographic_Data_Lookup12[#All], 2, FALSE)</f>
        <v>43.3</v>
      </c>
      <c r="N29" s="85">
        <f>(NBA_City_WCS[[#This Row],[Demographic Data (15 - 44 Age Group)]]-MIN(NBA_City_WCS[Demographic Data (15 - 44 Age Group)]))/(MAX(NBA_City_WCS[Demographic Data (15 - 44 Age Group)])-MIN(NBA_City_WCS[Demographic Data (15 - 44 Age Group)])) * 100</f>
        <v>73.493975903614412</v>
      </c>
      <c r="O29">
        <v>100</v>
      </c>
      <c r="P29" s="17">
        <v>4</v>
      </c>
      <c r="Q29" s="86">
        <f>NBA_City_WCS[[#This Row],[Fortune 500 HQ''s]]/72 * 100</f>
        <v>5.5555555555555554</v>
      </c>
      <c r="R29" s="13">
        <f>NBA_City_WCS[[#This Row],[Metro Population Weighted Score (20%)]]*0.2 + NBA_City_WCS[[#This Row],[Population Growth Weighted Score (15%)]]*0.15 + NBA_City_WCS[[#This Row],[Per Capita Income Weighted Score (15%)]]*0.15 + NBA_City_WCS[[#This Row],[TV Market Rank Weighted Score (10%)]]*0.1 + NBA_City_WCS[[#This Row],[Google Trend Weighted Score (10%)]]*0.1 + NBA_City_WCS[[#This Row],[Demographic Weighted Score (10%)]]*0.1 + NBA_City_WCS[[#This Row],[Arena Criteria (10%)]]*0.1 +NBA_City_WCS[[#This Row],[Fortune 500 HQ''s Score (10%)]]*0.1</f>
        <v>49.7206379482081</v>
      </c>
    </row>
    <row r="30" spans="1:18">
      <c r="A30" s="46" t="s">
        <v>195</v>
      </c>
      <c r="B30" s="44" t="s">
        <v>196</v>
      </c>
      <c r="C30" s="59">
        <f>VLOOKUP(NBA_Teams_Data[[#This Row],[City Name]],USA_Metro_Population_Lookup[],2,FALSE)</f>
        <v>1300762</v>
      </c>
      <c r="D30" s="81">
        <f>(NBA_City_WCS[[#This Row],[Metro Population 2024]]-MIN(NBA_City_WCS[Metro Population 2024]))/(MAX(NBA_City_WCS[Metro Population 2024])-MIN(NBA_City_WCS[Metro Population 2024])) * 100</f>
        <v>1.763103321569192</v>
      </c>
      <c r="E30" s="78">
        <f>VLOOKUP(NBA_Teams_Data[[#This Row],[City Name]],USA_Metro_Population_Lookup[], 3, FALSE)</f>
        <v>3.4</v>
      </c>
      <c r="F30" s="82">
        <f>(NBA_City_WCS[[#This Row],[Population Growth (% Change since 2020)]]-MIN(NBA_City_WCS[[#All],[Population Growth (% Change since 2020)]]))/(MAX(NBA_City_WCS[Population Growth (% Change since 2020)])-MIN(NBA_City_WCS[Population Growth (% Change since 2020)])) * 100</f>
        <v>53.129445234708392</v>
      </c>
      <c r="G30" s="65">
        <f>VLOOKUP(NBA_Teams_Data[[#This Row],[City Name]], Income_Data_Lookup[#All], 2, FALSE)</f>
        <v>70395</v>
      </c>
      <c r="H30" s="83">
        <f>(NBA_City_WCS[[#This Row],[Per Capita Personal Income (2023)]]-MIN(NBA_City_WCS[[#All],[Per Capita Personal Income (2023)]]))/(MAX(NBA_City_WCS[[#All],[Per Capita Personal Income (2023)]])-MIN(NBA_City_WCS[[#All],[Per Capita Personal Income (2023)]])) * 100</f>
        <v>17.553736625626868</v>
      </c>
      <c r="I30" s="44">
        <f>VLOOKUP(NBA_Teams_Data[[#This Row],[City Name]],Nielsen_TV_Market_Lookup[],2,FALSE)</f>
        <v>29</v>
      </c>
      <c r="J30" s="84">
        <f>(NBA_City_WCS[[#This Row],[Nielsen TV Market Rank]]-MAX(NBA_City_WCS[Nielsen TV Market Rank]))/(MIN(NBA_City_WCS[Nielsen TV Market Rank])-MAX(NBA_City_WCS[Nielsen TV Market Rank])) * 100</f>
        <v>45.098039215686278</v>
      </c>
      <c r="K30" s="44">
        <f>VLOOKUP(NBA_Teams_Data[[#This Row],[City Name]],Google_Trend_Score[#All], 2, FALSE)</f>
        <v>50</v>
      </c>
      <c r="L30" s="84">
        <f>(NBA_City_WCS[[#This Row],[NBA Google Analytic Trend Score (0-100)]]-MIN(NBA_City_WCS[NBA Google Analytic Trend Score (0-100)]))/(MAX(NBA_City_WCS[NBA Google Analytic Trend Score (0-100)])-MIN(NBA_City_WCS[NBA Google Analytic Trend Score (0-100)])) * 100</f>
        <v>7.3170731707317067</v>
      </c>
      <c r="M30" s="80">
        <f>VLOOKUP(NBA_Teams_Data[[#This Row],[City Name]],Demographic_Data_Lookup12[#All], 2, FALSE)</f>
        <v>45.5</v>
      </c>
      <c r="N30" s="85">
        <f>(NBA_City_WCS[[#This Row],[Demographic Data (15 - 44 Age Group)]]-MIN(NBA_City_WCS[Demographic Data (15 - 44 Age Group)]))/(MAX(NBA_City_WCS[Demographic Data (15 - 44 Age Group)])-MIN(NBA_City_WCS[Demographic Data (15 - 44 Age Group)])) * 100</f>
        <v>100</v>
      </c>
      <c r="O30">
        <v>100</v>
      </c>
      <c r="P30" s="44">
        <f>COUNTIF(Fortune_500_Companies_Lookup[City],NBA_Teams_Data[[#This Row],[City Name]])</f>
        <v>0</v>
      </c>
      <c r="Q30" s="86">
        <f>NBA_City_WCS[[#This Row],[Fortune 500 HQ''s]]/72 * 100</f>
        <v>0</v>
      </c>
      <c r="R30" s="13">
        <f>NBA_City_WCS[[#This Row],[Metro Population Weighted Score (20%)]]*0.2 + NBA_City_WCS[[#This Row],[Population Growth Weighted Score (15%)]]*0.15 + NBA_City_WCS[[#This Row],[Per Capita Income Weighted Score (15%)]]*0.15 + NBA_City_WCS[[#This Row],[TV Market Rank Weighted Score (10%)]]*0.1 + NBA_City_WCS[[#This Row],[Google Trend Weighted Score (10%)]]*0.1 + NBA_City_WCS[[#This Row],[Demographic Weighted Score (10%)]]*0.1 + NBA_City_WCS[[#This Row],[Arena Criteria (10%)]]*0.1 +NBA_City_WCS[[#This Row],[Fortune 500 HQ''s Score (10%)]]*0.1</f>
        <v>36.196609182005929</v>
      </c>
    </row>
    <row r="31" spans="1:18">
      <c r="A31" s="23" t="s">
        <v>199</v>
      </c>
      <c r="B31" s="17" t="s">
        <v>200</v>
      </c>
      <c r="C31" s="24">
        <f>VLOOKUP(NBA_Teams_Data[[#This Row],[City Name]],USA_Metro_Population_Lookup[],2,FALSE)</f>
        <v>6436489</v>
      </c>
      <c r="D31" s="81">
        <f>(NBA_City_WCS[[#This Row],[Metro Population 2024]]-MIN(NBA_City_WCS[Metro Population 2024]))/(MAX(NBA_City_WCS[Metro Population 2024])-MIN(NBA_City_WCS[Metro Population 2024])) * 100</f>
        <v>28.830221960062914</v>
      </c>
      <c r="E31" s="68">
        <f>VLOOKUP(NBA_Teams_Data[[#This Row],[City Name]],USA_Metro_Population_Lookup[], 3, FALSE)</f>
        <v>2.52</v>
      </c>
      <c r="F31" s="82">
        <f>(NBA_City_WCS[[#This Row],[Population Growth (% Change since 2020)]]-MIN(NBA_City_WCS[[#All],[Population Growth (% Change since 2020)]]))/(MAX(NBA_City_WCS[Population Growth (% Change since 2020)])-MIN(NBA_City_WCS[Population Growth (% Change since 2020)])) * 100</f>
        <v>46.870554765291608</v>
      </c>
      <c r="G31" s="36">
        <f>VLOOKUP(NBA_Teams_Data[[#This Row],[City Name]], Income_Data_Lookup[#All], 2, FALSE)</f>
        <v>89396</v>
      </c>
      <c r="H31" s="83">
        <f>(NBA_City_WCS[[#This Row],[Per Capita Personal Income (2023)]]-MIN(NBA_City_WCS[[#All],[Per Capita Personal Income (2023)]]))/(MAX(NBA_City_WCS[[#All],[Per Capita Personal Income (2023)]])-MIN(NBA_City_WCS[[#All],[Per Capita Personal Income (2023)]])) * 100</f>
        <v>43.518126289610692</v>
      </c>
      <c r="I31" s="17">
        <f>VLOOKUP(NBA_Teams_Data[[#This Row],[City Name]],Nielsen_TV_Market_Lookup[],2,FALSE)</f>
        <v>9</v>
      </c>
      <c r="J31" s="84">
        <f>(NBA_City_WCS[[#This Row],[Nielsen TV Market Rank]]-MAX(NBA_City_WCS[Nielsen TV Market Rank]))/(MIN(NBA_City_WCS[Nielsen TV Market Rank])-MAX(NBA_City_WCS[Nielsen TV Market Rank])) * 100</f>
        <v>84.313725490196077</v>
      </c>
      <c r="K31" s="17">
        <f>VLOOKUP(NBA_Teams_Data[[#This Row],[City Name]],Google_Trend_Score[#All], 2, FALSE)</f>
        <v>47</v>
      </c>
      <c r="L31" s="84">
        <f>(NBA_City_WCS[[#This Row],[NBA Google Analytic Trend Score (0-100)]]-MIN(NBA_City_WCS[NBA Google Analytic Trend Score (0-100)]))/(MAX(NBA_City_WCS[NBA Google Analytic Trend Score (0-100)])-MIN(NBA_City_WCS[NBA Google Analytic Trend Score (0-100)])) * 100</f>
        <v>0</v>
      </c>
      <c r="M31" s="50">
        <f>VLOOKUP(NBA_Teams_Data[[#This Row],[City Name]],Demographic_Data_Lookup12[#All], 2, FALSE)</f>
        <v>41.3</v>
      </c>
      <c r="N31" s="85">
        <f>(NBA_City_WCS[[#This Row],[Demographic Data (15 - 44 Age Group)]]-MIN(NBA_City_WCS[Demographic Data (15 - 44 Age Group)]))/(MAX(NBA_City_WCS[Demographic Data (15 - 44 Age Group)])-MIN(NBA_City_WCS[Demographic Data (15 - 44 Age Group)])) * 100</f>
        <v>49.397590361445729</v>
      </c>
      <c r="O31">
        <v>100</v>
      </c>
      <c r="P31" s="17">
        <f>COUNTIF(Fortune_500_Companies_Lookup[City],NBA_Teams_Data[[#This Row],[City Name]])</f>
        <v>20</v>
      </c>
      <c r="Q31" s="86">
        <f>NBA_City_WCS[[#This Row],[Fortune 500 HQ''s]]/72 * 100</f>
        <v>27.777777777777779</v>
      </c>
      <c r="R31" s="13">
        <f>NBA_City_WCS[[#This Row],[Metro Population Weighted Score (20%)]]*0.2 + NBA_City_WCS[[#This Row],[Population Growth Weighted Score (15%)]]*0.15 + NBA_City_WCS[[#This Row],[Per Capita Income Weighted Score (15%)]]*0.15 + NBA_City_WCS[[#This Row],[TV Market Rank Weighted Score (10%)]]*0.1 + NBA_City_WCS[[#This Row],[Google Trend Weighted Score (10%)]]*0.1 + NBA_City_WCS[[#This Row],[Demographic Weighted Score (10%)]]*0.1 + NBA_City_WCS[[#This Row],[Arena Criteria (10%)]]*0.1 +NBA_City_WCS[[#This Row],[Fortune 500 HQ''s Score (10%)]]*0.1</f>
        <v>45.473255913189888</v>
      </c>
    </row>
  </sheetData>
  <phoneticPr fontId="2" type="noConversion"/>
  <pageMargins left="0.7" right="0.7" top="0.75" bottom="0.75" header="0.3" footer="0.3"/>
  <ignoredErrors>
    <ignoredError sqref="R2" calculatedColumn="1"/>
  </ignoredErrors>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768F58-1082-41A9-A291-D93F0A7C3C18}">
  <sheetPr codeName="Sheet3"/>
  <dimension ref="A1:D6"/>
  <sheetViews>
    <sheetView workbookViewId="0">
      <selection activeCell="K37" sqref="K37"/>
    </sheetView>
  </sheetViews>
  <sheetFormatPr defaultRowHeight="14.45"/>
  <cols>
    <col min="1" max="2" width="11.140625" bestFit="1" customWidth="1"/>
    <col min="3" max="3" width="10.42578125" bestFit="1" customWidth="1"/>
    <col min="4" max="5" width="13.85546875" bestFit="1" customWidth="1"/>
  </cols>
  <sheetData>
    <row r="1" spans="1:4" ht="18" customHeight="1">
      <c r="A1" s="14" t="s">
        <v>3</v>
      </c>
      <c r="B1" s="31" t="s">
        <v>2</v>
      </c>
      <c r="C1" s="31" t="s">
        <v>214</v>
      </c>
      <c r="D1" s="15" t="s">
        <v>215</v>
      </c>
    </row>
    <row r="2" spans="1:4">
      <c r="A2" s="23" t="s">
        <v>74</v>
      </c>
      <c r="B2" s="17">
        <v>1</v>
      </c>
      <c r="C2" s="17" t="s">
        <v>216</v>
      </c>
      <c r="D2" s="25" t="s">
        <v>217</v>
      </c>
    </row>
    <row r="3" spans="1:4">
      <c r="A3" s="23" t="s">
        <v>33</v>
      </c>
      <c r="B3" s="17">
        <v>2</v>
      </c>
      <c r="C3" s="17" t="s">
        <v>216</v>
      </c>
      <c r="D3" s="25" t="s">
        <v>217</v>
      </c>
    </row>
    <row r="4" spans="1:4">
      <c r="A4" s="23" t="s">
        <v>43</v>
      </c>
      <c r="B4" s="17">
        <v>3</v>
      </c>
      <c r="C4" s="17" t="s">
        <v>216</v>
      </c>
      <c r="D4" s="25" t="s">
        <v>217</v>
      </c>
    </row>
    <row r="5" spans="1:4">
      <c r="A5" s="23" t="s">
        <v>23</v>
      </c>
      <c r="B5" s="17">
        <v>4</v>
      </c>
      <c r="C5" s="17" t="s">
        <v>216</v>
      </c>
      <c r="D5" s="25" t="s">
        <v>217</v>
      </c>
    </row>
    <row r="6" spans="1:4">
      <c r="A6" s="28" t="s">
        <v>28</v>
      </c>
      <c r="B6" s="29">
        <v>5</v>
      </c>
      <c r="C6" s="29" t="s">
        <v>216</v>
      </c>
      <c r="D6" s="18" t="s">
        <v>217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698B84-9319-4548-8878-C97D067CB7DA}">
  <sheetPr codeName="Sheet5"/>
  <dimension ref="A1:C387"/>
  <sheetViews>
    <sheetView workbookViewId="0">
      <selection activeCell="C7" sqref="C7"/>
    </sheetView>
  </sheetViews>
  <sheetFormatPr defaultRowHeight="14.45"/>
  <cols>
    <col min="1" max="1" width="49.5703125" bestFit="1" customWidth="1"/>
    <col min="2" max="2" width="19" style="2" bestFit="1" customWidth="1"/>
    <col min="3" max="3" width="22.140625" bestFit="1" customWidth="1"/>
  </cols>
  <sheetData>
    <row r="1" spans="1:3">
      <c r="A1" s="14" t="s">
        <v>218</v>
      </c>
      <c r="B1" s="32" t="s">
        <v>219</v>
      </c>
      <c r="C1" s="15" t="s">
        <v>220</v>
      </c>
    </row>
    <row r="2" spans="1:3">
      <c r="A2" s="23" t="s">
        <v>94</v>
      </c>
      <c r="B2" s="24">
        <v>19940274</v>
      </c>
      <c r="C2" s="67">
        <v>-0.71</v>
      </c>
    </row>
    <row r="3" spans="1:3">
      <c r="A3" s="23" t="s">
        <v>134</v>
      </c>
      <c r="B3" s="24">
        <f>SUM(12927614,4744214)</f>
        <v>17671828</v>
      </c>
      <c r="C3" s="67">
        <v>-2.0699999999999998</v>
      </c>
    </row>
    <row r="4" spans="1:3">
      <c r="A4" s="23" t="s">
        <v>102</v>
      </c>
      <c r="B4" s="24">
        <v>9408576</v>
      </c>
      <c r="C4" s="67">
        <v>-0.43</v>
      </c>
    </row>
    <row r="5" spans="1:3">
      <c r="A5" s="23" t="s">
        <v>110</v>
      </c>
      <c r="B5" s="24">
        <v>8344032</v>
      </c>
      <c r="C5" s="67">
        <v>9.25</v>
      </c>
    </row>
    <row r="6" spans="1:3">
      <c r="A6" s="23" t="s">
        <v>126</v>
      </c>
      <c r="B6" s="24">
        <v>7796182</v>
      </c>
      <c r="C6" s="67">
        <v>9.0399999999999991</v>
      </c>
    </row>
    <row r="7" spans="1:3">
      <c r="A7" s="23" t="s">
        <v>192</v>
      </c>
      <c r="B7" s="24">
        <v>7106379</v>
      </c>
      <c r="C7" s="67">
        <v>4.74</v>
      </c>
    </row>
    <row r="8" spans="1:3">
      <c r="A8" s="23" t="s">
        <v>122</v>
      </c>
      <c r="B8" s="24">
        <f>SUM(4648486,1995484)</f>
        <v>6643970</v>
      </c>
      <c r="C8" s="67">
        <v>-2.12</v>
      </c>
    </row>
    <row r="9" spans="1:3">
      <c r="A9" s="23" t="s">
        <v>145</v>
      </c>
      <c r="B9" s="24">
        <v>6457988</v>
      </c>
      <c r="C9" s="67">
        <v>5.21</v>
      </c>
    </row>
    <row r="10" spans="1:3">
      <c r="A10" s="23" t="s">
        <v>200</v>
      </c>
      <c r="B10" s="24">
        <v>6436489</v>
      </c>
      <c r="C10" s="67">
        <v>2.52</v>
      </c>
    </row>
    <row r="11" spans="1:3">
      <c r="A11" s="23" t="s">
        <v>86</v>
      </c>
      <c r="B11" s="24">
        <v>6411149</v>
      </c>
      <c r="C11" s="67">
        <v>5.0199999999999996</v>
      </c>
    </row>
    <row r="12" spans="1:3">
      <c r="A12" s="23" t="s">
        <v>172</v>
      </c>
      <c r="B12" s="24">
        <v>6330422</v>
      </c>
      <c r="C12" s="67">
        <v>1.37</v>
      </c>
    </row>
    <row r="13" spans="1:3">
      <c r="A13" s="23" t="s">
        <v>176</v>
      </c>
      <c r="B13" s="24">
        <v>5186958</v>
      </c>
      <c r="C13" s="67">
        <v>7.04</v>
      </c>
    </row>
    <row r="14" spans="1:3">
      <c r="A14" s="23" t="s">
        <v>90</v>
      </c>
      <c r="B14" s="24">
        <v>5025517</v>
      </c>
      <c r="C14" s="67">
        <v>1.7</v>
      </c>
    </row>
    <row r="15" spans="1:3">
      <c r="A15" s="23" t="s">
        <v>118</v>
      </c>
      <c r="B15" s="24">
        <v>4400578</v>
      </c>
      <c r="C15" s="67">
        <v>0.19</v>
      </c>
    </row>
    <row r="16" spans="1:3">
      <c r="A16" s="23" t="s">
        <v>64</v>
      </c>
      <c r="B16" s="24">
        <v>4145494</v>
      </c>
      <c r="C16" s="67">
        <v>3.15</v>
      </c>
    </row>
    <row r="17" spans="1:3">
      <c r="A17" s="23" t="s">
        <v>153</v>
      </c>
      <c r="B17" s="24">
        <v>3757952</v>
      </c>
      <c r="C17" s="67">
        <v>1.83</v>
      </c>
    </row>
    <row r="18" spans="1:3">
      <c r="A18" s="23" t="s">
        <v>70</v>
      </c>
      <c r="B18" s="24">
        <v>3424560</v>
      </c>
      <c r="C18" s="67">
        <v>7.85</v>
      </c>
    </row>
    <row r="19" spans="1:3">
      <c r="A19" s="23" t="s">
        <v>61</v>
      </c>
      <c r="B19" s="24">
        <v>3298799</v>
      </c>
      <c r="C19" s="67">
        <v>0.01</v>
      </c>
    </row>
    <row r="20" spans="1:3">
      <c r="A20" s="23" t="s">
        <v>114</v>
      </c>
      <c r="B20" s="24">
        <v>3052498</v>
      </c>
      <c r="C20" s="67">
        <v>2.99</v>
      </c>
    </row>
    <row r="21" spans="1:3">
      <c r="A21" s="23" t="s">
        <v>168</v>
      </c>
      <c r="B21" s="24">
        <v>2940513</v>
      </c>
      <c r="C21" s="67">
        <v>9.99</v>
      </c>
    </row>
    <row r="22" spans="1:3">
      <c r="A22" s="23" t="s">
        <v>98</v>
      </c>
      <c r="B22" s="24">
        <v>2883370</v>
      </c>
      <c r="C22" s="67">
        <v>8.3800000000000008</v>
      </c>
    </row>
    <row r="23" spans="1:3">
      <c r="A23" s="23" t="s">
        <v>221</v>
      </c>
      <c r="B23" s="24">
        <v>2859024</v>
      </c>
      <c r="C23" s="67">
        <v>0.51</v>
      </c>
    </row>
    <row r="24" spans="1:3">
      <c r="A24" s="23" t="s">
        <v>67</v>
      </c>
      <c r="B24" s="24">
        <v>2811927</v>
      </c>
      <c r="C24" s="67">
        <v>-0.3</v>
      </c>
    </row>
    <row r="25" spans="1:3">
      <c r="A25" s="23" t="s">
        <v>188</v>
      </c>
      <c r="B25" s="24">
        <v>2763006</v>
      </c>
      <c r="C25" s="67">
        <v>8.01</v>
      </c>
    </row>
    <row r="26" spans="1:3">
      <c r="A26" s="23" t="s">
        <v>27</v>
      </c>
      <c r="B26" s="24">
        <v>2550637</v>
      </c>
      <c r="C26" s="67">
        <v>11.7</v>
      </c>
    </row>
    <row r="27" spans="1:3">
      <c r="A27" s="23" t="s">
        <v>180</v>
      </c>
      <c r="B27" s="24">
        <v>2537904</v>
      </c>
      <c r="C27" s="67">
        <v>1</v>
      </c>
    </row>
    <row r="28" spans="1:3">
      <c r="A28" s="23" t="s">
        <v>184</v>
      </c>
      <c r="B28" s="24">
        <v>2463127</v>
      </c>
      <c r="C28" s="67">
        <v>2.74</v>
      </c>
    </row>
    <row r="29" spans="1:3">
      <c r="A29" s="23" t="s">
        <v>58</v>
      </c>
      <c r="B29" s="24">
        <v>2429917</v>
      </c>
      <c r="C29" s="67">
        <v>-1.1000000000000001</v>
      </c>
    </row>
    <row r="30" spans="1:3">
      <c r="A30" s="23" t="s">
        <v>46</v>
      </c>
      <c r="B30" s="24">
        <v>2398871</v>
      </c>
      <c r="C30" s="67">
        <v>5.89</v>
      </c>
    </row>
    <row r="31" spans="1:3">
      <c r="A31" s="23" t="s">
        <v>32</v>
      </c>
      <c r="B31" s="24">
        <v>2302815</v>
      </c>
      <c r="C31" s="67">
        <v>2.36</v>
      </c>
    </row>
    <row r="32" spans="1:3">
      <c r="A32" s="23" t="s">
        <v>42</v>
      </c>
      <c r="B32" s="24">
        <v>2253579</v>
      </c>
      <c r="C32" s="67">
        <v>2.81</v>
      </c>
    </row>
    <row r="33" spans="1:3">
      <c r="A33" s="23" t="s">
        <v>36</v>
      </c>
      <c r="B33" s="24">
        <v>2225377</v>
      </c>
      <c r="C33" s="67">
        <v>4.04</v>
      </c>
    </row>
    <row r="34" spans="1:3">
      <c r="A34" s="23" t="s">
        <v>130</v>
      </c>
      <c r="B34" s="24">
        <v>2174833</v>
      </c>
      <c r="C34" s="67">
        <v>4.08</v>
      </c>
    </row>
    <row r="35" spans="1:3">
      <c r="A35" s="23" t="s">
        <v>106</v>
      </c>
      <c r="B35" s="24">
        <v>2171877</v>
      </c>
      <c r="C35" s="67">
        <v>-0.64</v>
      </c>
    </row>
    <row r="36" spans="1:3">
      <c r="A36" s="23" t="s">
        <v>52</v>
      </c>
      <c r="B36" s="24">
        <v>2150553</v>
      </c>
      <c r="C36" s="67">
        <v>6.76</v>
      </c>
    </row>
    <row r="37" spans="1:3">
      <c r="A37" s="23" t="s">
        <v>73</v>
      </c>
      <c r="B37" s="24">
        <v>1794278</v>
      </c>
      <c r="C37" s="67">
        <v>0.8</v>
      </c>
    </row>
    <row r="38" spans="1:3">
      <c r="A38" s="23" t="s">
        <v>39</v>
      </c>
      <c r="B38" s="24">
        <v>1760548</v>
      </c>
      <c r="C38" s="67">
        <v>9.6300000000000008</v>
      </c>
    </row>
    <row r="39" spans="1:3">
      <c r="A39" s="23" t="s">
        <v>222</v>
      </c>
      <c r="B39" s="24">
        <v>1700901</v>
      </c>
      <c r="C39" s="67">
        <v>1.45</v>
      </c>
    </row>
    <row r="40" spans="1:3">
      <c r="A40" s="23" t="s">
        <v>149</v>
      </c>
      <c r="B40" s="24">
        <v>1574452</v>
      </c>
      <c r="C40" s="67">
        <v>-0.02</v>
      </c>
    </row>
    <row r="41" spans="1:3">
      <c r="A41" s="23" t="s">
        <v>223</v>
      </c>
      <c r="B41" s="24">
        <v>1562009</v>
      </c>
      <c r="C41" s="67">
        <v>10.47</v>
      </c>
    </row>
    <row r="42" spans="1:3">
      <c r="A42" s="23" t="s">
        <v>164</v>
      </c>
      <c r="B42" s="24">
        <v>1497821</v>
      </c>
      <c r="C42" s="67">
        <v>5.0599999999999996</v>
      </c>
    </row>
    <row r="43" spans="1:3">
      <c r="A43" s="23" t="s">
        <v>49</v>
      </c>
      <c r="B43" s="24">
        <v>1394234</v>
      </c>
      <c r="C43" s="67">
        <v>2.35</v>
      </c>
    </row>
    <row r="44" spans="1:3">
      <c r="A44" s="23" t="s">
        <v>224</v>
      </c>
      <c r="B44" s="24">
        <v>1370165</v>
      </c>
      <c r="C44" s="67">
        <v>4.24</v>
      </c>
    </row>
    <row r="45" spans="1:3">
      <c r="A45" s="23" t="s">
        <v>141</v>
      </c>
      <c r="B45" s="24">
        <v>1339345</v>
      </c>
      <c r="C45" s="67">
        <v>-0.45</v>
      </c>
    </row>
    <row r="46" spans="1:3">
      <c r="A46" s="23" t="s">
        <v>196</v>
      </c>
      <c r="B46" s="24">
        <v>1300762</v>
      </c>
      <c r="C46" s="67">
        <v>3.4</v>
      </c>
    </row>
    <row r="47" spans="1:3">
      <c r="A47" s="23" t="s">
        <v>225</v>
      </c>
      <c r="B47" s="24">
        <v>1192583</v>
      </c>
      <c r="C47" s="67">
        <v>1.01</v>
      </c>
    </row>
    <row r="48" spans="1:3">
      <c r="A48" s="23" t="s">
        <v>226</v>
      </c>
      <c r="B48" s="24">
        <v>1189557</v>
      </c>
      <c r="C48" s="67">
        <v>2.12</v>
      </c>
    </row>
    <row r="49" spans="1:3">
      <c r="A49" s="23" t="s">
        <v>227</v>
      </c>
      <c r="B49" s="24">
        <v>1178826</v>
      </c>
      <c r="C49" s="67">
        <v>2.5099999999999998</v>
      </c>
    </row>
    <row r="50" spans="1:3">
      <c r="A50" s="23" t="s">
        <v>228</v>
      </c>
      <c r="B50" s="24">
        <v>1169048</v>
      </c>
      <c r="C50" s="67">
        <v>1.61</v>
      </c>
    </row>
    <row r="51" spans="1:3">
      <c r="A51" s="23" t="s">
        <v>229</v>
      </c>
      <c r="B51" s="24">
        <v>1160172</v>
      </c>
      <c r="C51" s="67" t="s">
        <v>230</v>
      </c>
    </row>
    <row r="52" spans="1:3">
      <c r="A52" s="23" t="s">
        <v>22</v>
      </c>
      <c r="B52" s="24">
        <f>SUM(926303+B265)</f>
        <v>1091764</v>
      </c>
      <c r="C52" s="67">
        <v>1.07</v>
      </c>
    </row>
    <row r="53" spans="1:3">
      <c r="A53" s="23" t="s">
        <v>231</v>
      </c>
      <c r="B53" s="24">
        <v>1080149</v>
      </c>
      <c r="C53" s="67">
        <v>3.52</v>
      </c>
    </row>
    <row r="54" spans="1:3">
      <c r="A54" s="23" t="s">
        <v>232</v>
      </c>
      <c r="B54" s="24">
        <v>1059803</v>
      </c>
      <c r="C54" s="67">
        <v>4.38</v>
      </c>
    </row>
    <row r="55" spans="1:3">
      <c r="A55" s="23" t="s">
        <v>233</v>
      </c>
      <c r="B55" s="24">
        <v>1057218</v>
      </c>
      <c r="C55" s="67" t="s">
        <v>234</v>
      </c>
    </row>
    <row r="56" spans="1:3">
      <c r="A56" s="23" t="s">
        <v>55</v>
      </c>
      <c r="B56" s="24">
        <v>1001010</v>
      </c>
      <c r="C56" s="67">
        <v>3.45</v>
      </c>
    </row>
    <row r="57" spans="1:3">
      <c r="A57" s="23" t="s">
        <v>235</v>
      </c>
      <c r="B57" s="24">
        <v>998747</v>
      </c>
      <c r="C57" s="67" t="s">
        <v>236</v>
      </c>
    </row>
    <row r="58" spans="1:3">
      <c r="A58" s="23" t="s">
        <v>237</v>
      </c>
      <c r="B58" s="24">
        <v>996680</v>
      </c>
      <c r="C58" s="67">
        <v>7.38</v>
      </c>
    </row>
    <row r="59" spans="1:3">
      <c r="A59" s="23" t="s">
        <v>238</v>
      </c>
      <c r="B59" s="24">
        <v>972679</v>
      </c>
      <c r="C59" s="67">
        <v>2.78</v>
      </c>
    </row>
    <row r="60" spans="1:3">
      <c r="A60" s="23" t="s">
        <v>157</v>
      </c>
      <c r="B60" s="24">
        <v>966230</v>
      </c>
      <c r="C60" s="67">
        <v>-4.07</v>
      </c>
    </row>
    <row r="61" spans="1:3">
      <c r="A61" s="23" t="s">
        <v>239</v>
      </c>
      <c r="B61" s="24">
        <v>957608</v>
      </c>
      <c r="C61" s="67">
        <v>6.01</v>
      </c>
    </row>
    <row r="62" spans="1:3">
      <c r="A62" s="23" t="s">
        <v>240</v>
      </c>
      <c r="B62" s="24">
        <v>934956</v>
      </c>
      <c r="C62" s="67">
        <v>12.14</v>
      </c>
    </row>
    <row r="63" spans="1:3">
      <c r="A63" s="23" t="s">
        <v>241</v>
      </c>
      <c r="B63" s="24">
        <v>922529</v>
      </c>
      <c r="C63" s="67">
        <v>1.46</v>
      </c>
    </row>
    <row r="64" spans="1:3">
      <c r="A64" s="23" t="s">
        <v>242</v>
      </c>
      <c r="B64" s="24">
        <v>914820</v>
      </c>
      <c r="C64" s="67">
        <v>5.0599999999999996</v>
      </c>
    </row>
    <row r="65" spans="1:3">
      <c r="A65" s="23" t="s">
        <v>243</v>
      </c>
      <c r="B65" s="24">
        <v>913485</v>
      </c>
      <c r="C65" s="67">
        <v>1.58</v>
      </c>
    </row>
    <row r="66" spans="1:3">
      <c r="A66" s="23" t="s">
        <v>244</v>
      </c>
      <c r="B66" s="24">
        <v>886418</v>
      </c>
      <c r="C66" s="67">
        <v>2.85</v>
      </c>
    </row>
    <row r="67" spans="1:3">
      <c r="A67" s="23" t="s">
        <v>245</v>
      </c>
      <c r="B67" s="24">
        <v>882652</v>
      </c>
      <c r="C67" s="67">
        <v>1.39</v>
      </c>
    </row>
    <row r="68" spans="1:3">
      <c r="A68" s="23" t="s">
        <v>246</v>
      </c>
      <c r="B68" s="24">
        <v>881248</v>
      </c>
      <c r="C68" s="67">
        <v>2.2200000000000002</v>
      </c>
    </row>
    <row r="69" spans="1:3">
      <c r="A69" s="23" t="s">
        <v>247</v>
      </c>
      <c r="B69" s="24">
        <v>879392</v>
      </c>
      <c r="C69" s="67">
        <v>1.21</v>
      </c>
    </row>
    <row r="70" spans="1:3">
      <c r="A70" s="23" t="s">
        <v>248</v>
      </c>
      <c r="B70" s="24">
        <v>870193</v>
      </c>
      <c r="C70" s="67">
        <v>4.91</v>
      </c>
    </row>
    <row r="71" spans="1:3">
      <c r="A71" s="23" t="s">
        <v>249</v>
      </c>
      <c r="B71" s="24">
        <v>869940</v>
      </c>
      <c r="C71" s="67">
        <v>8.7899999999999991</v>
      </c>
    </row>
    <row r="72" spans="1:3">
      <c r="A72" s="23" t="s">
        <v>250</v>
      </c>
      <c r="B72" s="24">
        <v>860959</v>
      </c>
      <c r="C72" s="67">
        <v>13.16</v>
      </c>
    </row>
    <row r="73" spans="1:3">
      <c r="A73" s="23" t="s">
        <v>251</v>
      </c>
      <c r="B73" s="24">
        <v>852878</v>
      </c>
      <c r="C73" s="67">
        <v>17.63</v>
      </c>
    </row>
    <row r="74" spans="1:3">
      <c r="A74" s="23" t="s">
        <v>252</v>
      </c>
      <c r="B74" s="24">
        <v>845877</v>
      </c>
      <c r="C74" s="67">
        <v>10.61</v>
      </c>
    </row>
    <row r="75" spans="1:3">
      <c r="A75" s="23" t="s">
        <v>253</v>
      </c>
      <c r="B75" s="24">
        <v>835427</v>
      </c>
      <c r="C75" s="67" t="s">
        <v>254</v>
      </c>
    </row>
    <row r="76" spans="1:3">
      <c r="A76" s="23" t="s">
        <v>255</v>
      </c>
      <c r="B76" s="24">
        <v>821740</v>
      </c>
      <c r="C76" s="67">
        <v>0.94</v>
      </c>
    </row>
    <row r="77" spans="1:3">
      <c r="A77" s="23" t="s">
        <v>256</v>
      </c>
      <c r="B77" s="24">
        <v>816108</v>
      </c>
      <c r="C77" s="67">
        <v>4.7300000000000004</v>
      </c>
    </row>
    <row r="78" spans="1:3">
      <c r="A78" s="23" t="s">
        <v>257</v>
      </c>
      <c r="B78" s="24">
        <v>800722</v>
      </c>
      <c r="C78" s="67">
        <v>3.11</v>
      </c>
    </row>
    <row r="79" spans="1:3">
      <c r="A79" s="23" t="s">
        <v>258</v>
      </c>
      <c r="B79" s="24">
        <v>777634</v>
      </c>
      <c r="C79" s="67">
        <v>2.98</v>
      </c>
    </row>
    <row r="80" spans="1:3">
      <c r="A80" s="23" t="s">
        <v>259</v>
      </c>
      <c r="B80" s="24">
        <v>769258</v>
      </c>
      <c r="C80" s="67">
        <v>2.84</v>
      </c>
    </row>
    <row r="81" spans="1:3">
      <c r="A81" s="23" t="s">
        <v>260</v>
      </c>
      <c r="B81" s="24">
        <v>760531</v>
      </c>
      <c r="C81" s="67">
        <v>13.31</v>
      </c>
    </row>
    <row r="82" spans="1:3">
      <c r="A82" s="23" t="s">
        <v>261</v>
      </c>
      <c r="B82" s="24">
        <v>753913</v>
      </c>
      <c r="C82" s="67">
        <v>6.26</v>
      </c>
    </row>
    <row r="83" spans="1:3">
      <c r="A83" s="23" t="s">
        <v>262</v>
      </c>
      <c r="B83" s="24">
        <v>739516</v>
      </c>
      <c r="C83" s="67">
        <v>10.55</v>
      </c>
    </row>
    <row r="84" spans="1:3">
      <c r="A84" s="23" t="s">
        <v>263</v>
      </c>
      <c r="B84" s="24">
        <v>711730</v>
      </c>
      <c r="C84" s="67">
        <v>2.08</v>
      </c>
    </row>
    <row r="85" spans="1:3">
      <c r="A85" s="23" t="s">
        <v>264</v>
      </c>
      <c r="B85" s="24">
        <v>707606</v>
      </c>
      <c r="C85" s="67">
        <v>3.94</v>
      </c>
    </row>
    <row r="86" spans="1:3">
      <c r="A86" s="23" t="s">
        <v>265</v>
      </c>
      <c r="B86" s="24">
        <v>705187</v>
      </c>
      <c r="C86" s="67">
        <v>4.32</v>
      </c>
    </row>
    <row r="87" spans="1:3">
      <c r="A87" s="23" t="s">
        <v>266</v>
      </c>
      <c r="B87" s="24">
        <v>702209</v>
      </c>
      <c r="C87" s="67">
        <v>0</v>
      </c>
    </row>
    <row r="88" spans="1:3">
      <c r="A88" s="23" t="s">
        <v>267</v>
      </c>
      <c r="B88" s="24">
        <v>667681</v>
      </c>
      <c r="C88" s="67">
        <v>4.78</v>
      </c>
    </row>
    <row r="89" spans="1:3">
      <c r="A89" s="23" t="s">
        <v>268</v>
      </c>
      <c r="B89" s="24">
        <v>661217</v>
      </c>
      <c r="C89" s="67">
        <v>2.1</v>
      </c>
    </row>
    <row r="90" spans="1:3">
      <c r="A90" s="23" t="s">
        <v>269</v>
      </c>
      <c r="B90" s="24">
        <v>658447</v>
      </c>
      <c r="C90" s="67">
        <v>8.5500000000000007</v>
      </c>
    </row>
    <row r="91" spans="1:3">
      <c r="A91" s="23" t="s">
        <v>270</v>
      </c>
      <c r="B91" s="24">
        <v>655189</v>
      </c>
      <c r="C91" s="67" t="s">
        <v>271</v>
      </c>
    </row>
    <row r="92" spans="1:3">
      <c r="A92" s="23" t="s">
        <v>272</v>
      </c>
      <c r="B92" s="24">
        <v>636760</v>
      </c>
      <c r="C92" s="67">
        <v>4.22</v>
      </c>
    </row>
    <row r="93" spans="1:3">
      <c r="A93" s="23" t="s">
        <v>273</v>
      </c>
      <c r="B93" s="24">
        <v>620522</v>
      </c>
      <c r="C93" s="67">
        <v>5.37</v>
      </c>
    </row>
    <row r="94" spans="1:3">
      <c r="A94" s="23" t="s">
        <v>274</v>
      </c>
      <c r="B94" s="24">
        <v>615361</v>
      </c>
      <c r="C94" s="67">
        <v>4</v>
      </c>
    </row>
    <row r="95" spans="1:3">
      <c r="A95" s="23" t="s">
        <v>275</v>
      </c>
      <c r="B95" s="24">
        <v>606178</v>
      </c>
      <c r="C95" s="67" t="s">
        <v>276</v>
      </c>
    </row>
    <row r="96" spans="1:3">
      <c r="A96" s="23" t="s">
        <v>277</v>
      </c>
      <c r="B96" s="24">
        <v>605615</v>
      </c>
      <c r="C96" s="67">
        <v>10.77</v>
      </c>
    </row>
    <row r="97" spans="1:3">
      <c r="A97" s="23" t="s">
        <v>278</v>
      </c>
      <c r="B97" s="24">
        <v>604962</v>
      </c>
      <c r="C97" s="67">
        <v>3.27</v>
      </c>
    </row>
    <row r="98" spans="1:3">
      <c r="A98" s="23" t="s">
        <v>279</v>
      </c>
      <c r="B98" s="24">
        <v>601396</v>
      </c>
      <c r="C98" s="67" t="s">
        <v>280</v>
      </c>
    </row>
    <row r="99" spans="1:3">
      <c r="A99" s="23" t="s">
        <v>281</v>
      </c>
      <c r="B99" s="24">
        <v>588050</v>
      </c>
      <c r="C99" s="67">
        <v>4.51</v>
      </c>
    </row>
    <row r="100" spans="1:3">
      <c r="A100" s="23" t="s">
        <v>282</v>
      </c>
      <c r="B100" s="24">
        <v>576718</v>
      </c>
      <c r="C100" s="67">
        <v>1.0900000000000001</v>
      </c>
    </row>
    <row r="101" spans="1:3">
      <c r="A101" s="23" t="s">
        <v>283</v>
      </c>
      <c r="B101" s="24">
        <v>575110</v>
      </c>
      <c r="C101" s="67">
        <v>4.5999999999999996</v>
      </c>
    </row>
    <row r="102" spans="1:3">
      <c r="A102" s="23" t="s">
        <v>284</v>
      </c>
      <c r="B102" s="24">
        <v>574009</v>
      </c>
      <c r="C102" s="67">
        <v>1.1399999999999999</v>
      </c>
    </row>
    <row r="103" spans="1:3">
      <c r="A103" s="23" t="s">
        <v>285</v>
      </c>
      <c r="B103" s="24">
        <v>571534</v>
      </c>
      <c r="C103" s="67">
        <v>3.59</v>
      </c>
    </row>
    <row r="104" spans="1:3">
      <c r="A104" s="23" t="s">
        <v>286</v>
      </c>
      <c r="B104" s="24">
        <v>563293</v>
      </c>
      <c r="C104" s="67">
        <v>1.86</v>
      </c>
    </row>
    <row r="105" spans="1:3">
      <c r="A105" s="23" t="s">
        <v>287</v>
      </c>
      <c r="B105" s="24">
        <v>556972</v>
      </c>
      <c r="C105" s="67">
        <v>0.74</v>
      </c>
    </row>
    <row r="106" spans="1:3">
      <c r="A106" s="23" t="s">
        <v>288</v>
      </c>
      <c r="B106" s="24">
        <v>556336</v>
      </c>
      <c r="C106" s="67">
        <v>14.08</v>
      </c>
    </row>
    <row r="107" spans="1:3">
      <c r="A107" s="23" t="s">
        <v>289</v>
      </c>
      <c r="B107" s="24">
        <v>542297</v>
      </c>
      <c r="C107" s="67">
        <v>10.29</v>
      </c>
    </row>
    <row r="108" spans="1:3">
      <c r="A108" s="23" t="s">
        <v>290</v>
      </c>
      <c r="B108" s="24">
        <v>538928</v>
      </c>
      <c r="C108" s="67">
        <v>5.69</v>
      </c>
    </row>
    <row r="109" spans="1:3">
      <c r="A109" s="23" t="s">
        <v>291</v>
      </c>
      <c r="B109" s="24">
        <v>533366</v>
      </c>
      <c r="C109" s="67">
        <v>3.2</v>
      </c>
    </row>
    <row r="110" spans="1:3">
      <c r="A110" s="23" t="s">
        <v>292</v>
      </c>
      <c r="B110" s="24">
        <v>509487</v>
      </c>
      <c r="C110" s="67">
        <v>7.18</v>
      </c>
    </row>
    <row r="111" spans="1:3">
      <c r="A111" s="23" t="s">
        <v>293</v>
      </c>
      <c r="B111" s="24">
        <v>496975</v>
      </c>
      <c r="C111" s="67">
        <v>4.53</v>
      </c>
    </row>
    <row r="112" spans="1:3">
      <c r="A112" s="23" t="s">
        <v>294</v>
      </c>
      <c r="B112" s="24">
        <v>485375</v>
      </c>
      <c r="C112" s="67" t="s">
        <v>295</v>
      </c>
    </row>
    <row r="113" spans="1:3">
      <c r="A113" s="23" t="s">
        <v>296</v>
      </c>
      <c r="B113" s="24">
        <v>483546</v>
      </c>
      <c r="C113" s="67">
        <v>2.2000000000000002</v>
      </c>
    </row>
    <row r="114" spans="1:3">
      <c r="A114" s="23" t="s">
        <v>297</v>
      </c>
      <c r="B114" s="24">
        <v>480522</v>
      </c>
      <c r="C114" s="67">
        <v>13.71</v>
      </c>
    </row>
    <row r="115" spans="1:3">
      <c r="A115" s="23" t="s">
        <v>298</v>
      </c>
      <c r="B115" s="24">
        <v>479971</v>
      </c>
      <c r="C115" s="67">
        <v>1.43</v>
      </c>
    </row>
    <row r="116" spans="1:3">
      <c r="A116" s="23" t="s">
        <v>299</v>
      </c>
      <c r="B116" s="24">
        <v>471240</v>
      </c>
      <c r="C116" s="67">
        <v>3.24</v>
      </c>
    </row>
    <row r="117" spans="1:3">
      <c r="A117" s="23" t="s">
        <v>300</v>
      </c>
      <c r="B117" s="24">
        <v>464151</v>
      </c>
      <c r="C117" s="67" t="s">
        <v>301</v>
      </c>
    </row>
    <row r="118" spans="1:3">
      <c r="A118" s="23" t="s">
        <v>302</v>
      </c>
      <c r="B118" s="24">
        <v>462978</v>
      </c>
      <c r="C118" s="67">
        <v>3.39</v>
      </c>
    </row>
    <row r="119" spans="1:3">
      <c r="A119" s="23" t="s">
        <v>303</v>
      </c>
      <c r="B119" s="24">
        <v>462220</v>
      </c>
      <c r="C119" s="67">
        <v>2.63</v>
      </c>
    </row>
    <row r="120" spans="1:3">
      <c r="A120" s="23" t="s">
        <v>304</v>
      </c>
      <c r="B120" s="24">
        <v>455101</v>
      </c>
      <c r="C120" s="67">
        <v>0.36</v>
      </c>
    </row>
    <row r="121" spans="1:3">
      <c r="A121" s="23" t="s">
        <v>305</v>
      </c>
      <c r="B121" s="24">
        <v>450187</v>
      </c>
      <c r="C121" s="67">
        <v>0.99</v>
      </c>
    </row>
    <row r="122" spans="1:3">
      <c r="A122" s="23" t="s">
        <v>306</v>
      </c>
      <c r="B122" s="24">
        <v>444500</v>
      </c>
      <c r="C122" s="67" t="s">
        <v>307</v>
      </c>
    </row>
    <row r="123" spans="1:3">
      <c r="A123" s="23" t="s">
        <v>308</v>
      </c>
      <c r="B123" s="24">
        <v>443416</v>
      </c>
      <c r="C123" s="67">
        <v>2.3199999999999998</v>
      </c>
    </row>
    <row r="124" spans="1:3">
      <c r="A124" s="23" t="s">
        <v>309</v>
      </c>
      <c r="B124" s="24">
        <v>439117</v>
      </c>
      <c r="C124" s="67">
        <v>2.39</v>
      </c>
    </row>
    <row r="125" spans="1:3">
      <c r="A125" s="23" t="s">
        <v>310</v>
      </c>
      <c r="B125" s="24">
        <v>436251</v>
      </c>
      <c r="C125" s="67" t="s">
        <v>311</v>
      </c>
    </row>
    <row r="126" spans="1:3">
      <c r="A126" s="23" t="s">
        <v>312</v>
      </c>
      <c r="B126" s="24">
        <v>431874</v>
      </c>
      <c r="C126" s="67">
        <v>2.58</v>
      </c>
    </row>
    <row r="127" spans="1:3">
      <c r="A127" s="23" t="s">
        <v>313</v>
      </c>
      <c r="B127" s="24">
        <v>431589</v>
      </c>
      <c r="C127" s="67">
        <v>6.62</v>
      </c>
    </row>
    <row r="128" spans="1:3">
      <c r="A128" s="23" t="s">
        <v>314</v>
      </c>
      <c r="B128" s="24">
        <v>430462</v>
      </c>
      <c r="C128" s="67">
        <v>1.78</v>
      </c>
    </row>
    <row r="129" spans="1:3">
      <c r="A129" s="23" t="s">
        <v>315</v>
      </c>
      <c r="B129" s="24">
        <v>428905</v>
      </c>
      <c r="C129" s="67">
        <v>14.1</v>
      </c>
    </row>
    <row r="130" spans="1:3">
      <c r="A130" s="23" t="s">
        <v>316</v>
      </c>
      <c r="B130" s="24">
        <v>426793</v>
      </c>
      <c r="C130" s="67">
        <v>2.5299999999999998</v>
      </c>
    </row>
    <row r="131" spans="1:3">
      <c r="A131" s="23" t="s">
        <v>317</v>
      </c>
      <c r="B131" s="24">
        <v>426086</v>
      </c>
      <c r="C131" s="67" t="s">
        <v>318</v>
      </c>
    </row>
    <row r="132" spans="1:3">
      <c r="A132" s="23" t="s">
        <v>319</v>
      </c>
      <c r="B132" s="24">
        <v>422333</v>
      </c>
      <c r="C132" s="67">
        <v>3.79</v>
      </c>
    </row>
    <row r="133" spans="1:3">
      <c r="A133" s="23" t="s">
        <v>320</v>
      </c>
      <c r="B133" s="24">
        <v>419704</v>
      </c>
      <c r="C133" s="67">
        <v>2.75</v>
      </c>
    </row>
    <row r="134" spans="1:3">
      <c r="A134" s="23" t="s">
        <v>321</v>
      </c>
      <c r="B134" s="24">
        <v>416233</v>
      </c>
      <c r="C134" s="67">
        <v>10.77</v>
      </c>
    </row>
    <row r="135" spans="1:3">
      <c r="A135" s="23" t="s">
        <v>322</v>
      </c>
      <c r="B135" s="24">
        <v>413391</v>
      </c>
      <c r="C135" s="67">
        <v>17.77</v>
      </c>
    </row>
    <row r="136" spans="1:3">
      <c r="A136" s="23" t="s">
        <v>323</v>
      </c>
      <c r="B136" s="24">
        <v>412339</v>
      </c>
      <c r="C136" s="67" t="s">
        <v>324</v>
      </c>
    </row>
    <row r="137" spans="1:3">
      <c r="A137" s="23" t="s">
        <v>325</v>
      </c>
      <c r="B137" s="24">
        <v>407213</v>
      </c>
      <c r="C137" s="67">
        <v>2.23</v>
      </c>
    </row>
    <row r="138" spans="1:3">
      <c r="A138" s="23" t="s">
        <v>326</v>
      </c>
      <c r="B138" s="24">
        <v>402279</v>
      </c>
      <c r="C138" s="67" t="s">
        <v>327</v>
      </c>
    </row>
    <row r="139" spans="1:3">
      <c r="A139" s="23" t="s">
        <v>328</v>
      </c>
      <c r="B139" s="24">
        <v>400551</v>
      </c>
      <c r="C139" s="67" t="s">
        <v>329</v>
      </c>
    </row>
    <row r="140" spans="1:3">
      <c r="A140" s="23" t="s">
        <v>330</v>
      </c>
      <c r="B140" s="24">
        <v>398733</v>
      </c>
      <c r="C140" s="67">
        <v>0.28999999999999998</v>
      </c>
    </row>
    <row r="141" spans="1:3">
      <c r="A141" s="23" t="s">
        <v>331</v>
      </c>
      <c r="B141" s="24">
        <v>397675</v>
      </c>
      <c r="C141" s="67">
        <v>3.48</v>
      </c>
    </row>
    <row r="142" spans="1:3">
      <c r="A142" s="23" t="s">
        <v>332</v>
      </c>
      <c r="B142" s="24">
        <v>395934</v>
      </c>
      <c r="C142" s="67">
        <v>11.46</v>
      </c>
    </row>
    <row r="143" spans="1:3">
      <c r="A143" s="23" t="s">
        <v>333</v>
      </c>
      <c r="B143" s="24">
        <v>393812</v>
      </c>
      <c r="C143" s="67">
        <v>1.81</v>
      </c>
    </row>
    <row r="144" spans="1:3">
      <c r="A144" s="23" t="s">
        <v>334</v>
      </c>
      <c r="B144" s="24">
        <v>392138</v>
      </c>
      <c r="C144" s="67">
        <v>1.24</v>
      </c>
    </row>
    <row r="145" spans="1:3">
      <c r="A145" s="23" t="s">
        <v>335</v>
      </c>
      <c r="B145" s="24">
        <v>387885</v>
      </c>
      <c r="C145" s="67">
        <v>0.48</v>
      </c>
    </row>
    <row r="146" spans="1:3">
      <c r="A146" s="23" t="s">
        <v>336</v>
      </c>
      <c r="B146" s="24">
        <v>383269</v>
      </c>
      <c r="C146" s="67" t="s">
        <v>337</v>
      </c>
    </row>
    <row r="147" spans="1:3">
      <c r="A147" s="23" t="s">
        <v>338</v>
      </c>
      <c r="B147" s="24">
        <v>382396</v>
      </c>
      <c r="C147" s="67" t="s">
        <v>339</v>
      </c>
    </row>
    <row r="148" spans="1:3">
      <c r="A148" s="23" t="s">
        <v>340</v>
      </c>
      <c r="B148" s="24">
        <v>381801</v>
      </c>
      <c r="C148" s="67" t="s">
        <v>341</v>
      </c>
    </row>
    <row r="149" spans="1:3">
      <c r="A149" s="23" t="s">
        <v>342</v>
      </c>
      <c r="B149" s="24">
        <v>374574</v>
      </c>
      <c r="C149" s="67">
        <v>4.32</v>
      </c>
    </row>
    <row r="150" spans="1:3">
      <c r="A150" s="23" t="s">
        <v>343</v>
      </c>
      <c r="B150" s="24">
        <v>373875</v>
      </c>
      <c r="C150" s="67">
        <v>0.43</v>
      </c>
    </row>
    <row r="151" spans="1:3">
      <c r="A151" s="23" t="s">
        <v>344</v>
      </c>
      <c r="B151" s="24">
        <v>373031</v>
      </c>
      <c r="C151" s="67">
        <v>2.12</v>
      </c>
    </row>
    <row r="152" spans="1:3">
      <c r="A152" s="23" t="s">
        <v>345</v>
      </c>
      <c r="B152" s="24">
        <v>372989</v>
      </c>
      <c r="C152" s="67">
        <v>0.86</v>
      </c>
    </row>
    <row r="153" spans="1:3">
      <c r="A153" s="23" t="s">
        <v>346</v>
      </c>
      <c r="B153" s="24">
        <v>369745</v>
      </c>
      <c r="C153" s="67">
        <v>12.39</v>
      </c>
    </row>
    <row r="154" spans="1:3">
      <c r="A154" s="23" t="s">
        <v>347</v>
      </c>
      <c r="B154" s="24">
        <v>367109</v>
      </c>
      <c r="C154" s="67">
        <v>4.51</v>
      </c>
    </row>
    <row r="155" spans="1:3">
      <c r="A155" s="23" t="s">
        <v>348</v>
      </c>
      <c r="B155" s="24">
        <v>366920</v>
      </c>
      <c r="C155" s="67" t="s">
        <v>349</v>
      </c>
    </row>
    <row r="156" spans="1:3">
      <c r="A156" s="23" t="s">
        <v>350</v>
      </c>
      <c r="B156" s="24">
        <v>364565</v>
      </c>
      <c r="C156" s="67" t="s">
        <v>351</v>
      </c>
    </row>
    <row r="157" spans="1:3">
      <c r="A157" s="23" t="s">
        <v>352</v>
      </c>
      <c r="B157" s="24">
        <v>359780</v>
      </c>
      <c r="C157" s="67">
        <v>6.05</v>
      </c>
    </row>
    <row r="158" spans="1:3">
      <c r="A158" s="23" t="s">
        <v>353</v>
      </c>
      <c r="B158" s="24">
        <v>350626</v>
      </c>
      <c r="C158" s="67">
        <v>3.06</v>
      </c>
    </row>
    <row r="159" spans="1:3">
      <c r="A159" s="23" t="s">
        <v>354</v>
      </c>
      <c r="B159" s="24">
        <v>345955</v>
      </c>
      <c r="C159" s="67">
        <v>7.93</v>
      </c>
    </row>
    <row r="160" spans="1:3">
      <c r="A160" s="23" t="s">
        <v>355</v>
      </c>
      <c r="B160" s="24">
        <v>337103</v>
      </c>
      <c r="C160" s="67" t="s">
        <v>356</v>
      </c>
    </row>
    <row r="161" spans="1:3">
      <c r="A161" s="23" t="s">
        <v>357</v>
      </c>
      <c r="B161" s="24">
        <v>334697</v>
      </c>
      <c r="C161" s="67">
        <v>1.96</v>
      </c>
    </row>
    <row r="162" spans="1:3">
      <c r="A162" s="23" t="s">
        <v>358</v>
      </c>
      <c r="B162" s="24">
        <v>330262</v>
      </c>
      <c r="C162" s="67" t="s">
        <v>339</v>
      </c>
    </row>
    <row r="163" spans="1:3">
      <c r="A163" s="23" t="s">
        <v>359</v>
      </c>
      <c r="B163" s="24">
        <v>325294</v>
      </c>
      <c r="C163" s="67">
        <v>0.24</v>
      </c>
    </row>
    <row r="164" spans="1:3">
      <c r="A164" s="23" t="s">
        <v>360</v>
      </c>
      <c r="B164" s="24">
        <v>324343</v>
      </c>
      <c r="C164" s="67" t="s">
        <v>361</v>
      </c>
    </row>
    <row r="165" spans="1:3">
      <c r="A165" s="23" t="s">
        <v>362</v>
      </c>
      <c r="B165" s="24">
        <v>319428</v>
      </c>
      <c r="C165" s="67">
        <v>5.21</v>
      </c>
    </row>
    <row r="166" spans="1:3">
      <c r="A166" s="23" t="s">
        <v>363</v>
      </c>
      <c r="B166" s="24">
        <v>315749</v>
      </c>
      <c r="C166" s="67">
        <v>0.16</v>
      </c>
    </row>
    <row r="167" spans="1:3">
      <c r="A167" s="23" t="s">
        <v>364</v>
      </c>
      <c r="B167" s="24">
        <v>313876</v>
      </c>
      <c r="C167" s="67">
        <v>2.04</v>
      </c>
    </row>
    <row r="168" spans="1:3">
      <c r="A168" s="23" t="s">
        <v>365</v>
      </c>
      <c r="B168" s="24">
        <v>311295</v>
      </c>
      <c r="C168" s="67">
        <v>5.94</v>
      </c>
    </row>
    <row r="169" spans="1:3">
      <c r="A169" s="23" t="s">
        <v>366</v>
      </c>
      <c r="B169" s="24">
        <v>310149</v>
      </c>
      <c r="C169" s="67">
        <v>8.08</v>
      </c>
    </row>
    <row r="170" spans="1:3">
      <c r="A170" s="23" t="s">
        <v>367</v>
      </c>
      <c r="B170" s="24">
        <v>308266</v>
      </c>
      <c r="C170" s="67">
        <v>7.62</v>
      </c>
    </row>
    <row r="171" spans="1:3">
      <c r="A171" s="23" t="s">
        <v>368</v>
      </c>
      <c r="B171" s="24">
        <v>307123</v>
      </c>
      <c r="C171" s="67">
        <v>3.83</v>
      </c>
    </row>
    <row r="172" spans="1:3">
      <c r="A172" s="23" t="s">
        <v>369</v>
      </c>
      <c r="B172" s="24">
        <v>302912</v>
      </c>
      <c r="C172" s="67">
        <v>2.75</v>
      </c>
    </row>
    <row r="173" spans="1:3">
      <c r="A173" s="23" t="s">
        <v>370</v>
      </c>
      <c r="B173" s="24">
        <v>296774</v>
      </c>
      <c r="C173" s="67">
        <v>5.54</v>
      </c>
    </row>
    <row r="174" spans="1:3">
      <c r="A174" s="23" t="s">
        <v>371</v>
      </c>
      <c r="B174" s="24">
        <v>295490</v>
      </c>
      <c r="C174" s="67">
        <v>3.25</v>
      </c>
    </row>
    <row r="175" spans="1:3">
      <c r="A175" s="23" t="s">
        <v>372</v>
      </c>
      <c r="B175" s="24">
        <v>287932</v>
      </c>
      <c r="C175" s="67" t="s">
        <v>373</v>
      </c>
    </row>
    <row r="176" spans="1:3">
      <c r="A176" s="23" t="s">
        <v>374</v>
      </c>
      <c r="B176" s="24">
        <v>287462</v>
      </c>
      <c r="C176" s="67">
        <v>7.16</v>
      </c>
    </row>
    <row r="177" spans="1:3">
      <c r="A177" s="23" t="s">
        <v>375</v>
      </c>
      <c r="B177" s="24">
        <v>282602</v>
      </c>
      <c r="C177" s="67">
        <v>0.77</v>
      </c>
    </row>
    <row r="178" spans="1:3">
      <c r="A178" s="23" t="s">
        <v>376</v>
      </c>
      <c r="B178" s="24">
        <v>281963</v>
      </c>
      <c r="C178" s="67">
        <v>4.95</v>
      </c>
    </row>
    <row r="179" spans="1:3">
      <c r="A179" s="23" t="s">
        <v>377</v>
      </c>
      <c r="B179" s="24">
        <v>281843</v>
      </c>
      <c r="C179" s="67" t="s">
        <v>378</v>
      </c>
    </row>
    <row r="180" spans="1:3">
      <c r="A180" s="23" t="s">
        <v>379</v>
      </c>
      <c r="B180" s="24">
        <v>281815</v>
      </c>
      <c r="C180" s="67">
        <v>0.39</v>
      </c>
    </row>
    <row r="181" spans="1:3">
      <c r="A181" s="23" t="s">
        <v>380</v>
      </c>
      <c r="B181" s="24">
        <v>281420</v>
      </c>
      <c r="C181" s="67">
        <v>2.11</v>
      </c>
    </row>
    <row r="182" spans="1:3">
      <c r="A182" s="23" t="s">
        <v>381</v>
      </c>
      <c r="B182" s="24">
        <v>278677</v>
      </c>
      <c r="C182" s="67">
        <v>0.78</v>
      </c>
    </row>
    <row r="183" spans="1:3">
      <c r="A183" s="23" t="s">
        <v>382</v>
      </c>
      <c r="B183" s="24">
        <v>277615</v>
      </c>
      <c r="C183" s="67">
        <v>4.93</v>
      </c>
    </row>
    <row r="184" spans="1:3">
      <c r="A184" s="23" t="s">
        <v>383</v>
      </c>
      <c r="B184" s="24">
        <v>274650</v>
      </c>
      <c r="C184" s="67">
        <v>2.2200000000000002</v>
      </c>
    </row>
    <row r="185" spans="1:3">
      <c r="A185" s="23" t="s">
        <v>384</v>
      </c>
      <c r="B185" s="24">
        <v>272823</v>
      </c>
      <c r="C185" s="67">
        <v>2.14</v>
      </c>
    </row>
    <row r="186" spans="1:3">
      <c r="A186" s="23" t="s">
        <v>385</v>
      </c>
      <c r="B186" s="24">
        <v>271793</v>
      </c>
      <c r="C186" s="67">
        <v>0.94</v>
      </c>
    </row>
    <row r="187" spans="1:3">
      <c r="A187" s="23" t="s">
        <v>386</v>
      </c>
      <c r="B187" s="24">
        <v>267793</v>
      </c>
      <c r="C187" s="67">
        <v>7.18</v>
      </c>
    </row>
    <row r="188" spans="1:3">
      <c r="A188" s="23" t="s">
        <v>387</v>
      </c>
      <c r="B188" s="24">
        <v>267750</v>
      </c>
      <c r="C188" s="67" t="s">
        <v>388</v>
      </c>
    </row>
    <row r="189" spans="1:3">
      <c r="A189" s="23" t="s">
        <v>389</v>
      </c>
      <c r="B189" s="24">
        <v>266432</v>
      </c>
      <c r="C189" s="67">
        <v>1.85</v>
      </c>
    </row>
    <row r="190" spans="1:3">
      <c r="A190" s="23" t="s">
        <v>390</v>
      </c>
      <c r="B190" s="24">
        <v>264780</v>
      </c>
      <c r="C190" s="67">
        <v>1.19</v>
      </c>
    </row>
    <row r="191" spans="1:3">
      <c r="A191" s="23" t="s">
        <v>391</v>
      </c>
      <c r="B191" s="24">
        <v>264407</v>
      </c>
      <c r="C191" s="67">
        <v>6.83</v>
      </c>
    </row>
    <row r="192" spans="1:3">
      <c r="A192" s="23" t="s">
        <v>392</v>
      </c>
      <c r="B192" s="24">
        <v>262406</v>
      </c>
      <c r="C192" s="67" t="s">
        <v>393</v>
      </c>
    </row>
    <row r="193" spans="1:3">
      <c r="A193" s="23" t="s">
        <v>394</v>
      </c>
      <c r="B193" s="24">
        <v>261608</v>
      </c>
      <c r="C193" s="67">
        <v>12.88</v>
      </c>
    </row>
    <row r="194" spans="1:3">
      <c r="A194" s="23" t="s">
        <v>395</v>
      </c>
      <c r="B194" s="24">
        <v>258523</v>
      </c>
      <c r="C194" s="67">
        <v>0.7</v>
      </c>
    </row>
    <row r="195" spans="1:3">
      <c r="A195" s="23" t="s">
        <v>396</v>
      </c>
      <c r="B195" s="24">
        <v>252013</v>
      </c>
      <c r="C195" s="67">
        <v>6.69</v>
      </c>
    </row>
    <row r="196" spans="1:3">
      <c r="A196" s="23" t="s">
        <v>397</v>
      </c>
      <c r="B196" s="24">
        <v>249091</v>
      </c>
      <c r="C196" s="67">
        <v>6.69</v>
      </c>
    </row>
    <row r="197" spans="1:3">
      <c r="A197" s="23" t="s">
        <v>398</v>
      </c>
      <c r="B197" s="24">
        <v>248992</v>
      </c>
      <c r="C197" s="67">
        <v>2.4</v>
      </c>
    </row>
    <row r="198" spans="1:3">
      <c r="A198" s="23" t="s">
        <v>399</v>
      </c>
      <c r="B198" s="24">
        <v>243971</v>
      </c>
      <c r="C198" s="67" t="s">
        <v>400</v>
      </c>
    </row>
    <row r="199" spans="1:3">
      <c r="A199" s="23" t="s">
        <v>401</v>
      </c>
      <c r="B199" s="24">
        <v>242975</v>
      </c>
      <c r="C199" s="67" t="s">
        <v>402</v>
      </c>
    </row>
    <row r="200" spans="1:3">
      <c r="A200" s="23" t="s">
        <v>403</v>
      </c>
      <c r="B200" s="24">
        <v>242453</v>
      </c>
      <c r="C200" s="67">
        <v>2.7</v>
      </c>
    </row>
    <row r="201" spans="1:3">
      <c r="A201" s="23" t="s">
        <v>404</v>
      </c>
      <c r="B201" s="24">
        <v>237617</v>
      </c>
      <c r="C201" s="67">
        <v>1.63</v>
      </c>
    </row>
    <row r="202" spans="1:3">
      <c r="A202" s="23" t="s">
        <v>405</v>
      </c>
      <c r="B202" s="24">
        <v>237393</v>
      </c>
      <c r="C202" s="67">
        <v>9.9499999999999993</v>
      </c>
    </row>
    <row r="203" spans="1:3">
      <c r="A203" s="23" t="s">
        <v>406</v>
      </c>
      <c r="B203" s="24">
        <v>234954</v>
      </c>
      <c r="C203" s="67">
        <v>3.57</v>
      </c>
    </row>
    <row r="204" spans="1:3">
      <c r="A204" s="23" t="s">
        <v>407</v>
      </c>
      <c r="B204" s="24">
        <v>232848</v>
      </c>
      <c r="C204" s="67">
        <v>2.48</v>
      </c>
    </row>
    <row r="205" spans="1:3">
      <c r="A205" s="23" t="s">
        <v>408</v>
      </c>
      <c r="B205" s="24">
        <v>232648</v>
      </c>
      <c r="C205" s="67" t="s">
        <v>409</v>
      </c>
    </row>
    <row r="206" spans="1:3">
      <c r="A206" s="23" t="s">
        <v>410</v>
      </c>
      <c r="B206" s="24">
        <v>232570</v>
      </c>
      <c r="C206" s="67">
        <v>1.56</v>
      </c>
    </row>
    <row r="207" spans="1:3">
      <c r="A207" s="23" t="s">
        <v>411</v>
      </c>
      <c r="B207" s="24">
        <v>230742</v>
      </c>
      <c r="C207" s="67">
        <v>1.95</v>
      </c>
    </row>
    <row r="208" spans="1:3">
      <c r="A208" s="23" t="s">
        <v>412</v>
      </c>
      <c r="B208" s="24">
        <v>229701</v>
      </c>
      <c r="C208" s="67">
        <v>2.68</v>
      </c>
    </row>
    <row r="209" spans="1:3">
      <c r="A209" s="23" t="s">
        <v>413</v>
      </c>
      <c r="B209" s="24">
        <v>229445</v>
      </c>
      <c r="C209" s="67">
        <v>1.72</v>
      </c>
    </row>
    <row r="210" spans="1:3">
      <c r="A210" s="23" t="s">
        <v>414</v>
      </c>
      <c r="B210" s="24">
        <v>229366</v>
      </c>
      <c r="C210" s="67">
        <v>4.47</v>
      </c>
    </row>
    <row r="211" spans="1:3">
      <c r="A211" s="23" t="s">
        <v>415</v>
      </c>
      <c r="B211" s="24">
        <v>227336</v>
      </c>
      <c r="C211" s="67">
        <v>2.62</v>
      </c>
    </row>
    <row r="212" spans="1:3">
      <c r="A212" s="23" t="s">
        <v>416</v>
      </c>
      <c r="B212" s="24">
        <v>226479</v>
      </c>
      <c r="C212" s="67">
        <v>6.2</v>
      </c>
    </row>
    <row r="213" spans="1:3">
      <c r="A213" s="23" t="s">
        <v>417</v>
      </c>
      <c r="B213" s="24">
        <v>226221</v>
      </c>
      <c r="C213" s="67">
        <v>12.81</v>
      </c>
    </row>
    <row r="214" spans="1:3">
      <c r="A214" s="23" t="s">
        <v>418</v>
      </c>
      <c r="B214" s="24">
        <v>223689</v>
      </c>
      <c r="C214" s="67">
        <v>3.84</v>
      </c>
    </row>
    <row r="215" spans="1:3">
      <c r="A215" s="23" t="s">
        <v>419</v>
      </c>
      <c r="B215" s="24">
        <v>221921</v>
      </c>
      <c r="C215" s="67" t="s">
        <v>420</v>
      </c>
    </row>
    <row r="216" spans="1:3">
      <c r="A216" s="23" t="s">
        <v>421</v>
      </c>
      <c r="B216" s="24">
        <v>221745</v>
      </c>
      <c r="C216" s="67">
        <v>9.16</v>
      </c>
    </row>
    <row r="217" spans="1:3">
      <c r="A217" s="23" t="s">
        <v>422</v>
      </c>
      <c r="B217" s="24">
        <v>221331</v>
      </c>
      <c r="C217" s="67" t="s">
        <v>423</v>
      </c>
    </row>
    <row r="218" spans="1:3">
      <c r="A218" s="23" t="s">
        <v>424</v>
      </c>
      <c r="B218" s="24">
        <v>220310</v>
      </c>
      <c r="C218" s="67">
        <v>8.06</v>
      </c>
    </row>
    <row r="219" spans="1:3">
      <c r="A219" s="23" t="s">
        <v>425</v>
      </c>
      <c r="B219" s="24">
        <v>219426</v>
      </c>
      <c r="C219" s="67">
        <v>4.0599999999999996</v>
      </c>
    </row>
    <row r="220" spans="1:3">
      <c r="A220" s="23" t="s">
        <v>426</v>
      </c>
      <c r="B220" s="24">
        <v>214948</v>
      </c>
      <c r="C220" s="67">
        <v>3.7</v>
      </c>
    </row>
    <row r="221" spans="1:3">
      <c r="A221" s="23" t="s">
        <v>427</v>
      </c>
      <c r="B221" s="24">
        <v>212954</v>
      </c>
      <c r="C221" s="67">
        <v>4.0999999999999996</v>
      </c>
    </row>
    <row r="222" spans="1:3">
      <c r="A222" s="23" t="s">
        <v>428</v>
      </c>
      <c r="B222" s="24">
        <v>212122</v>
      </c>
      <c r="C222" s="67">
        <v>13.53</v>
      </c>
    </row>
    <row r="223" spans="1:3">
      <c r="A223" s="23" t="s">
        <v>429</v>
      </c>
      <c r="B223" s="24">
        <v>211382</v>
      </c>
      <c r="C223" s="67">
        <v>2.33</v>
      </c>
    </row>
    <row r="224" spans="1:3">
      <c r="A224" s="23" t="s">
        <v>430</v>
      </c>
      <c r="B224" s="24">
        <v>208334</v>
      </c>
      <c r="C224" s="67" t="s">
        <v>431</v>
      </c>
    </row>
    <row r="225" spans="1:3">
      <c r="A225" s="23" t="s">
        <v>432</v>
      </c>
      <c r="B225" s="24">
        <v>207943</v>
      </c>
      <c r="C225" s="67">
        <v>15.35</v>
      </c>
    </row>
    <row r="226" spans="1:3">
      <c r="A226" s="23" t="s">
        <v>433</v>
      </c>
      <c r="B226" s="24">
        <v>207436</v>
      </c>
      <c r="C226" s="67">
        <v>0.19</v>
      </c>
    </row>
    <row r="227" spans="1:3">
      <c r="A227" s="23" t="s">
        <v>434</v>
      </c>
      <c r="B227" s="24">
        <v>207131</v>
      </c>
      <c r="C227" s="67">
        <v>3.17</v>
      </c>
    </row>
    <row r="228" spans="1:3">
      <c r="A228" s="23" t="s">
        <v>435</v>
      </c>
      <c r="B228" s="24">
        <v>206308</v>
      </c>
      <c r="C228" s="67" t="s">
        <v>436</v>
      </c>
    </row>
    <row r="229" spans="1:3">
      <c r="A229" s="23" t="s">
        <v>437</v>
      </c>
      <c r="B229" s="24">
        <v>206006</v>
      </c>
      <c r="C229" s="67">
        <v>6.31</v>
      </c>
    </row>
    <row r="230" spans="1:3">
      <c r="A230" s="23" t="s">
        <v>438</v>
      </c>
      <c r="B230" s="24">
        <v>205878</v>
      </c>
      <c r="C230" s="67">
        <v>3.11</v>
      </c>
    </row>
    <row r="231" spans="1:3">
      <c r="A231" s="23" t="s">
        <v>439</v>
      </c>
      <c r="B231" s="24">
        <v>204110</v>
      </c>
      <c r="C231" s="67">
        <v>6.52</v>
      </c>
    </row>
    <row r="232" spans="1:3">
      <c r="A232" s="23" t="s">
        <v>440</v>
      </c>
      <c r="B232" s="24">
        <v>202091</v>
      </c>
      <c r="C232" s="67" t="s">
        <v>441</v>
      </c>
    </row>
    <row r="233" spans="1:3">
      <c r="A233" s="23" t="s">
        <v>442</v>
      </c>
      <c r="B233" s="24">
        <v>200474</v>
      </c>
      <c r="C233" s="67">
        <v>0.26</v>
      </c>
    </row>
    <row r="234" spans="1:3">
      <c r="A234" s="23" t="s">
        <v>443</v>
      </c>
      <c r="B234" s="24">
        <v>199206</v>
      </c>
      <c r="C234" s="67" t="s">
        <v>444</v>
      </c>
    </row>
    <row r="235" spans="1:3">
      <c r="A235" s="23" t="s">
        <v>445</v>
      </c>
      <c r="B235" s="24">
        <v>198651</v>
      </c>
      <c r="C235" s="67">
        <v>0.47</v>
      </c>
    </row>
    <row r="236" spans="1:3">
      <c r="A236" s="23" t="s">
        <v>446</v>
      </c>
      <c r="B236" s="24">
        <v>195159</v>
      </c>
      <c r="C236" s="67">
        <v>8.64</v>
      </c>
    </row>
    <row r="237" spans="1:3">
      <c r="A237" s="23" t="s">
        <v>447</v>
      </c>
      <c r="B237" s="24">
        <v>192690</v>
      </c>
      <c r="C237" s="67">
        <v>5.96</v>
      </c>
    </row>
    <row r="238" spans="1:3">
      <c r="A238" s="23" t="s">
        <v>448</v>
      </c>
      <c r="B238" s="24">
        <v>192531</v>
      </c>
      <c r="C238" s="67">
        <v>4.54</v>
      </c>
    </row>
    <row r="239" spans="1:3">
      <c r="A239" s="23" t="s">
        <v>449</v>
      </c>
      <c r="B239" s="24">
        <v>188766</v>
      </c>
      <c r="C239" s="67">
        <v>7.73</v>
      </c>
    </row>
    <row r="240" spans="1:3">
      <c r="A240" s="23" t="s">
        <v>450</v>
      </c>
      <c r="B240" s="24">
        <v>188323</v>
      </c>
      <c r="C240" s="67">
        <v>9.9</v>
      </c>
    </row>
    <row r="241" spans="1:3">
      <c r="A241" s="23" t="s">
        <v>451</v>
      </c>
      <c r="B241" s="24">
        <v>187714</v>
      </c>
      <c r="C241" s="67" t="s">
        <v>452</v>
      </c>
    </row>
    <row r="242" spans="1:3">
      <c r="A242" s="23" t="s">
        <v>453</v>
      </c>
      <c r="B242" s="24">
        <v>186014</v>
      </c>
      <c r="C242" s="67">
        <v>2.65</v>
      </c>
    </row>
    <row r="243" spans="1:3">
      <c r="A243" s="23" t="s">
        <v>454</v>
      </c>
      <c r="B243" s="24">
        <v>184278</v>
      </c>
      <c r="C243" s="67">
        <v>4.3600000000000003</v>
      </c>
    </row>
    <row r="244" spans="1:3">
      <c r="A244" s="23" t="s">
        <v>455</v>
      </c>
      <c r="B244" s="24">
        <v>183680</v>
      </c>
      <c r="C244" s="67">
        <v>1.76</v>
      </c>
    </row>
    <row r="245" spans="1:3">
      <c r="A245" s="23" t="s">
        <v>456</v>
      </c>
      <c r="B245" s="24">
        <v>183040</v>
      </c>
      <c r="C245" s="67">
        <v>6.78</v>
      </c>
    </row>
    <row r="246" spans="1:3">
      <c r="A246" s="23" t="s">
        <v>457</v>
      </c>
      <c r="B246" s="24">
        <v>182977</v>
      </c>
      <c r="C246" s="67">
        <v>0.62</v>
      </c>
    </row>
    <row r="247" spans="1:3">
      <c r="A247" s="23" t="s">
        <v>458</v>
      </c>
      <c r="B247" s="24">
        <v>182711</v>
      </c>
      <c r="C247" s="67">
        <v>4.16</v>
      </c>
    </row>
    <row r="248" spans="1:3">
      <c r="A248" s="23" t="s">
        <v>459</v>
      </c>
      <c r="B248" s="24">
        <v>182041</v>
      </c>
      <c r="C248" s="67">
        <v>0.1</v>
      </c>
    </row>
    <row r="249" spans="1:3">
      <c r="A249" s="23" t="s">
        <v>460</v>
      </c>
      <c r="B249" s="24">
        <v>181724</v>
      </c>
      <c r="C249" s="67">
        <v>1.1299999999999999</v>
      </c>
    </row>
    <row r="250" spans="1:3">
      <c r="A250" s="23" t="s">
        <v>461</v>
      </c>
      <c r="B250" s="24">
        <v>181121</v>
      </c>
      <c r="C250" s="67" t="s">
        <v>462</v>
      </c>
    </row>
    <row r="251" spans="1:3">
      <c r="A251" s="23" t="s">
        <v>463</v>
      </c>
      <c r="B251" s="24">
        <v>180783</v>
      </c>
      <c r="C251" s="67">
        <v>6.19</v>
      </c>
    </row>
    <row r="252" spans="1:3">
      <c r="A252" s="23" t="s">
        <v>464</v>
      </c>
      <c r="B252" s="24">
        <v>177428</v>
      </c>
      <c r="C252" s="67">
        <v>0.91</v>
      </c>
    </row>
    <row r="253" spans="1:3">
      <c r="A253" s="23" t="s">
        <v>465</v>
      </c>
      <c r="B253" s="24">
        <v>176153</v>
      </c>
      <c r="C253" s="67">
        <v>2.41</v>
      </c>
    </row>
    <row r="254" spans="1:3">
      <c r="A254" s="23" t="s">
        <v>466</v>
      </c>
      <c r="B254" s="24">
        <v>173307</v>
      </c>
      <c r="C254" s="67">
        <v>0.92</v>
      </c>
    </row>
    <row r="255" spans="1:3">
      <c r="A255" s="23" t="s">
        <v>467</v>
      </c>
      <c r="B255" s="24">
        <v>172139</v>
      </c>
      <c r="C255" s="67">
        <v>7.73</v>
      </c>
    </row>
    <row r="256" spans="1:3">
      <c r="A256" s="23" t="s">
        <v>468</v>
      </c>
      <c r="B256" s="24">
        <v>172069</v>
      </c>
      <c r="C256" s="67">
        <v>0.65</v>
      </c>
    </row>
    <row r="257" spans="1:3">
      <c r="A257" s="23" t="s">
        <v>469</v>
      </c>
      <c r="B257" s="24">
        <v>171233</v>
      </c>
      <c r="C257" s="67">
        <v>8.77</v>
      </c>
    </row>
    <row r="258" spans="1:3">
      <c r="A258" s="23" t="s">
        <v>470</v>
      </c>
      <c r="B258" s="24">
        <v>170763</v>
      </c>
      <c r="C258" s="67">
        <v>0.25</v>
      </c>
    </row>
    <row r="259" spans="1:3">
      <c r="A259" s="23" t="s">
        <v>471</v>
      </c>
      <c r="B259" s="24">
        <v>170174</v>
      </c>
      <c r="C259" s="67">
        <v>10.62</v>
      </c>
    </row>
    <row r="260" spans="1:3">
      <c r="A260" s="23" t="s">
        <v>472</v>
      </c>
      <c r="B260" s="24">
        <v>170081</v>
      </c>
      <c r="C260" s="67">
        <v>0.96</v>
      </c>
    </row>
    <row r="261" spans="1:3">
      <c r="A261" s="23" t="s">
        <v>473</v>
      </c>
      <c r="B261" s="24">
        <v>170022</v>
      </c>
      <c r="C261" s="67">
        <v>2.94</v>
      </c>
    </row>
    <row r="262" spans="1:3">
      <c r="A262" s="23" t="s">
        <v>474</v>
      </c>
      <c r="B262" s="24">
        <v>169866</v>
      </c>
      <c r="C262" s="67">
        <v>1.01</v>
      </c>
    </row>
    <row r="263" spans="1:3">
      <c r="A263" s="23" t="s">
        <v>475</v>
      </c>
      <c r="B263" s="24">
        <v>168874</v>
      </c>
      <c r="C263" s="67">
        <v>0</v>
      </c>
    </row>
    <row r="264" spans="1:3">
      <c r="A264" s="23" t="s">
        <v>476</v>
      </c>
      <c r="B264" s="24">
        <v>168754</v>
      </c>
      <c r="C264" s="67" t="s">
        <v>477</v>
      </c>
    </row>
    <row r="265" spans="1:3">
      <c r="A265" s="23" t="s">
        <v>478</v>
      </c>
      <c r="B265" s="24">
        <v>165461</v>
      </c>
      <c r="C265" s="67">
        <v>1.08</v>
      </c>
    </row>
    <row r="266" spans="1:3">
      <c r="A266" s="23" t="s">
        <v>479</v>
      </c>
      <c r="B266" s="24">
        <v>165399</v>
      </c>
      <c r="C266" s="67">
        <v>1.9</v>
      </c>
    </row>
    <row r="267" spans="1:3">
      <c r="A267" s="23" t="s">
        <v>480</v>
      </c>
      <c r="B267" s="24">
        <v>163769</v>
      </c>
      <c r="C267" s="67" t="s">
        <v>481</v>
      </c>
    </row>
    <row r="268" spans="1:3">
      <c r="A268" s="23" t="s">
        <v>482</v>
      </c>
      <c r="B268" s="24">
        <v>162553</v>
      </c>
      <c r="C268" s="67">
        <v>0.94</v>
      </c>
    </row>
    <row r="269" spans="1:3">
      <c r="A269" s="23" t="s">
        <v>483</v>
      </c>
      <c r="B269" s="24">
        <v>161260</v>
      </c>
      <c r="C269" s="67">
        <v>3.57</v>
      </c>
    </row>
    <row r="270" spans="1:3">
      <c r="A270" s="23" t="s">
        <v>484</v>
      </c>
      <c r="B270" s="24">
        <v>161125</v>
      </c>
      <c r="C270" s="67">
        <v>9.35</v>
      </c>
    </row>
    <row r="271" spans="1:3">
      <c r="A271" s="23" t="s">
        <v>485</v>
      </c>
      <c r="B271" s="24">
        <v>160233</v>
      </c>
      <c r="C271" s="67" t="s">
        <v>486</v>
      </c>
    </row>
    <row r="272" spans="1:3">
      <c r="A272" s="23" t="s">
        <v>487</v>
      </c>
      <c r="B272" s="24">
        <v>159805</v>
      </c>
      <c r="C272" s="67">
        <v>1.03</v>
      </c>
    </row>
    <row r="273" spans="1:3">
      <c r="A273" s="23" t="s">
        <v>488</v>
      </c>
      <c r="B273" s="24">
        <v>159651</v>
      </c>
      <c r="C273" s="67">
        <v>2.02</v>
      </c>
    </row>
    <row r="274" spans="1:3">
      <c r="A274" s="23" t="s">
        <v>489</v>
      </c>
      <c r="B274" s="24">
        <v>159285</v>
      </c>
      <c r="C274" s="67">
        <v>2.15</v>
      </c>
    </row>
    <row r="275" spans="1:3" hidden="1">
      <c r="A275" s="23" t="s">
        <v>490</v>
      </c>
      <c r="B275" s="24">
        <v>157765</v>
      </c>
      <c r="C275" s="67">
        <v>1.9</v>
      </c>
    </row>
    <row r="276" spans="1:3">
      <c r="A276" s="23" t="s">
        <v>491</v>
      </c>
      <c r="B276" s="24">
        <v>156840</v>
      </c>
      <c r="C276" s="67">
        <v>3.05</v>
      </c>
    </row>
    <row r="277" spans="1:3">
      <c r="A277" s="23" t="s">
        <v>492</v>
      </c>
      <c r="B277" s="24">
        <v>156634</v>
      </c>
      <c r="C277" s="67">
        <v>2.08</v>
      </c>
    </row>
    <row r="278" spans="1:3">
      <c r="A278" s="23" t="s">
        <v>493</v>
      </c>
      <c r="B278" s="24">
        <v>156575</v>
      </c>
      <c r="C278" s="67">
        <v>1.74</v>
      </c>
    </row>
    <row r="279" spans="1:3">
      <c r="A279" s="23" t="s">
        <v>494</v>
      </c>
      <c r="B279" s="24">
        <v>156287</v>
      </c>
      <c r="C279" s="67">
        <v>3.64</v>
      </c>
    </row>
    <row r="280" spans="1:3">
      <c r="A280" s="23" t="s">
        <v>495</v>
      </c>
      <c r="B280" s="24">
        <v>156227</v>
      </c>
      <c r="C280" s="67">
        <v>5.99</v>
      </c>
    </row>
    <row r="281" spans="1:3">
      <c r="A281" s="23" t="s">
        <v>496</v>
      </c>
      <c r="B281" s="24">
        <v>156045</v>
      </c>
      <c r="C281" s="67">
        <v>0.8</v>
      </c>
    </row>
    <row r="282" spans="1:3">
      <c r="A282" s="23" t="s">
        <v>497</v>
      </c>
      <c r="B282" s="24">
        <v>155678</v>
      </c>
      <c r="C282" s="67">
        <v>0.99</v>
      </c>
    </row>
    <row r="283" spans="1:3">
      <c r="A283" s="23" t="s">
        <v>498</v>
      </c>
      <c r="B283" s="24">
        <v>154913</v>
      </c>
      <c r="C283" s="67">
        <v>1.59</v>
      </c>
    </row>
    <row r="284" spans="1:3">
      <c r="A284" s="23" t="s">
        <v>499</v>
      </c>
      <c r="B284" s="24">
        <v>154766</v>
      </c>
      <c r="C284" s="67">
        <v>2.4900000000000002</v>
      </c>
    </row>
    <row r="285" spans="1:3">
      <c r="A285" s="23" t="s">
        <v>500</v>
      </c>
      <c r="B285" s="24">
        <v>154693</v>
      </c>
      <c r="C285" s="67">
        <v>19.22</v>
      </c>
    </row>
    <row r="286" spans="1:3">
      <c r="A286" s="23" t="s">
        <v>501</v>
      </c>
      <c r="B286" s="24">
        <v>152703</v>
      </c>
      <c r="C286" s="67" t="s">
        <v>318</v>
      </c>
    </row>
    <row r="287" spans="1:3">
      <c r="A287" s="23" t="s">
        <v>502</v>
      </c>
      <c r="B287" s="24">
        <v>152588</v>
      </c>
      <c r="C287" s="67">
        <v>3.01</v>
      </c>
    </row>
    <row r="288" spans="1:3">
      <c r="A288" s="23" t="s">
        <v>503</v>
      </c>
      <c r="B288" s="24">
        <v>151523</v>
      </c>
      <c r="C288" s="67">
        <v>0.81</v>
      </c>
    </row>
    <row r="289" spans="1:3">
      <c r="A289" s="23" t="s">
        <v>504</v>
      </c>
      <c r="B289" s="24">
        <v>150532</v>
      </c>
      <c r="C289" s="67">
        <v>11.06</v>
      </c>
    </row>
    <row r="290" spans="1:3">
      <c r="A290" s="23" t="s">
        <v>505</v>
      </c>
      <c r="B290" s="24">
        <v>149869</v>
      </c>
      <c r="C290" s="67">
        <v>1.18</v>
      </c>
    </row>
    <row r="291" spans="1:3">
      <c r="A291" s="23" t="s">
        <v>506</v>
      </c>
      <c r="B291" s="24">
        <v>149702</v>
      </c>
      <c r="C291" s="67">
        <v>4.96</v>
      </c>
    </row>
    <row r="292" spans="1:3">
      <c r="A292" s="23" t="s">
        <v>507</v>
      </c>
      <c r="B292" s="24">
        <v>148008</v>
      </c>
      <c r="C292" s="67" t="s">
        <v>508</v>
      </c>
    </row>
    <row r="293" spans="1:3">
      <c r="A293" s="23" t="s">
        <v>509</v>
      </c>
      <c r="B293" s="24">
        <v>147114</v>
      </c>
      <c r="C293" s="67">
        <v>2.25</v>
      </c>
    </row>
    <row r="294" spans="1:3">
      <c r="A294" s="23" t="s">
        <v>510</v>
      </c>
      <c r="B294" s="24">
        <v>146386</v>
      </c>
      <c r="C294" s="67">
        <v>2.48</v>
      </c>
    </row>
    <row r="295" spans="1:3">
      <c r="A295" s="23" t="s">
        <v>511</v>
      </c>
      <c r="B295" s="24">
        <v>145994</v>
      </c>
      <c r="C295" s="67">
        <v>1.1499999999999999</v>
      </c>
    </row>
    <row r="296" spans="1:3">
      <c r="A296" s="23" t="s">
        <v>512</v>
      </c>
      <c r="B296" s="24">
        <v>145576</v>
      </c>
      <c r="C296" s="67" t="s">
        <v>513</v>
      </c>
    </row>
    <row r="297" spans="1:3">
      <c r="A297" s="23" t="s">
        <v>514</v>
      </c>
      <c r="B297" s="24">
        <v>145451</v>
      </c>
      <c r="C297" s="67" t="s">
        <v>515</v>
      </c>
    </row>
    <row r="298" spans="1:3">
      <c r="A298" s="23" t="s">
        <v>516</v>
      </c>
      <c r="B298" s="24">
        <v>145319</v>
      </c>
      <c r="C298" s="67">
        <v>1.44</v>
      </c>
    </row>
    <row r="299" spans="1:3">
      <c r="A299" s="23" t="s">
        <v>517</v>
      </c>
      <c r="B299" s="24">
        <v>145161</v>
      </c>
      <c r="C299" s="67">
        <v>0.04</v>
      </c>
    </row>
    <row r="300" spans="1:3">
      <c r="A300" s="23" t="s">
        <v>518</v>
      </c>
      <c r="B300" s="24">
        <v>142752</v>
      </c>
      <c r="C300" s="67">
        <v>1.94</v>
      </c>
    </row>
    <row r="301" spans="1:3">
      <c r="A301" s="23" t="s">
        <v>519</v>
      </c>
      <c r="B301" s="24">
        <v>139823</v>
      </c>
      <c r="C301" s="67">
        <v>5.01</v>
      </c>
    </row>
    <row r="302" spans="1:3">
      <c r="A302" s="23" t="s">
        <v>520</v>
      </c>
      <c r="B302" s="24">
        <v>139183</v>
      </c>
      <c r="C302" s="67">
        <v>4.16</v>
      </c>
    </row>
    <row r="303" spans="1:3">
      <c r="A303" s="23" t="s">
        <v>521</v>
      </c>
      <c r="B303" s="24">
        <v>139091</v>
      </c>
      <c r="C303" s="67">
        <v>0.78</v>
      </c>
    </row>
    <row r="304" spans="1:3">
      <c r="A304" s="23" t="s">
        <v>522</v>
      </c>
      <c r="B304" s="24">
        <v>138838</v>
      </c>
      <c r="C304" s="67">
        <v>2.41</v>
      </c>
    </row>
    <row r="305" spans="1:3">
      <c r="A305" s="23" t="s">
        <v>523</v>
      </c>
      <c r="B305" s="24">
        <v>138152</v>
      </c>
      <c r="C305" s="67">
        <v>2.95</v>
      </c>
    </row>
    <row r="306" spans="1:3">
      <c r="A306" s="23" t="s">
        <v>524</v>
      </c>
      <c r="B306" s="24">
        <v>135136</v>
      </c>
      <c r="C306" s="67" t="s">
        <v>525</v>
      </c>
    </row>
    <row r="307" spans="1:3">
      <c r="A307" s="23" t="s">
        <v>526</v>
      </c>
      <c r="B307" s="24">
        <v>134985</v>
      </c>
      <c r="C307" s="67" t="s">
        <v>527</v>
      </c>
    </row>
    <row r="308" spans="1:3">
      <c r="A308" s="23" t="s">
        <v>528</v>
      </c>
      <c r="B308" s="24">
        <v>134892</v>
      </c>
      <c r="C308" s="67">
        <v>0.63</v>
      </c>
    </row>
    <row r="309" spans="1:3">
      <c r="A309" s="23" t="s">
        <v>529</v>
      </c>
      <c r="B309" s="24">
        <v>133785</v>
      </c>
      <c r="C309" s="67" t="s">
        <v>530</v>
      </c>
    </row>
    <row r="310" spans="1:3">
      <c r="A310" s="23" t="s">
        <v>531</v>
      </c>
      <c r="B310" s="24">
        <v>132736</v>
      </c>
      <c r="C310" s="67">
        <v>2.48</v>
      </c>
    </row>
    <row r="311" spans="1:3">
      <c r="A311" s="23" t="s">
        <v>532</v>
      </c>
      <c r="B311" s="24">
        <v>132727</v>
      </c>
      <c r="C311" s="67" t="s">
        <v>444</v>
      </c>
    </row>
    <row r="312" spans="1:3">
      <c r="A312" s="23" t="s">
        <v>533</v>
      </c>
      <c r="B312" s="24">
        <v>132474</v>
      </c>
      <c r="C312" s="67">
        <v>3</v>
      </c>
    </row>
    <row r="313" spans="1:3">
      <c r="A313" s="23" t="s">
        <v>534</v>
      </c>
      <c r="B313" s="24">
        <v>132120</v>
      </c>
      <c r="C313" s="67">
        <v>4.72</v>
      </c>
    </row>
    <row r="314" spans="1:3">
      <c r="A314" s="23" t="s">
        <v>535</v>
      </c>
      <c r="B314" s="24">
        <v>131570</v>
      </c>
      <c r="C314" s="67">
        <v>2.62</v>
      </c>
    </row>
    <row r="315" spans="1:3">
      <c r="A315" s="23" t="s">
        <v>536</v>
      </c>
      <c r="B315" s="24">
        <v>130108</v>
      </c>
      <c r="C315" s="67" t="s">
        <v>537</v>
      </c>
    </row>
    <row r="316" spans="1:3">
      <c r="A316" s="23" t="s">
        <v>538</v>
      </c>
      <c r="B316" s="24">
        <v>129227</v>
      </c>
      <c r="C316" s="67">
        <v>3.17</v>
      </c>
    </row>
    <row r="317" spans="1:3">
      <c r="A317" s="23" t="s">
        <v>539</v>
      </c>
      <c r="B317" s="24">
        <v>128726</v>
      </c>
      <c r="C317" s="67" t="s">
        <v>477</v>
      </c>
    </row>
    <row r="318" spans="1:3">
      <c r="A318" s="23" t="s">
        <v>540</v>
      </c>
      <c r="B318" s="24">
        <v>128481</v>
      </c>
      <c r="C318" s="67">
        <v>2.4300000000000002</v>
      </c>
    </row>
    <row r="319" spans="1:3">
      <c r="A319" s="23" t="s">
        <v>541</v>
      </c>
      <c r="B319" s="24">
        <v>127954</v>
      </c>
      <c r="C319" s="67">
        <v>1.9</v>
      </c>
    </row>
    <row r="320" spans="1:3">
      <c r="A320" s="23" t="s">
        <v>542</v>
      </c>
      <c r="B320" s="24">
        <v>127741</v>
      </c>
      <c r="C320" s="67">
        <v>4.3099999999999996</v>
      </c>
    </row>
    <row r="321" spans="1:3">
      <c r="A321" s="23" t="s">
        <v>543</v>
      </c>
      <c r="B321" s="24">
        <v>127023</v>
      </c>
      <c r="C321" s="67">
        <v>4.1100000000000003</v>
      </c>
    </row>
    <row r="322" spans="1:3">
      <c r="A322" s="23" t="s">
        <v>544</v>
      </c>
      <c r="B322" s="24">
        <v>126984</v>
      </c>
      <c r="C322" s="67">
        <v>6.75</v>
      </c>
    </row>
    <row r="323" spans="1:3">
      <c r="A323" s="23" t="s">
        <v>545</v>
      </c>
      <c r="B323" s="24">
        <v>126932</v>
      </c>
      <c r="C323" s="67">
        <v>6.5</v>
      </c>
    </row>
    <row r="324" spans="1:3">
      <c r="A324" s="23" t="s">
        <v>546</v>
      </c>
      <c r="B324" s="24">
        <v>126899</v>
      </c>
      <c r="C324" s="67">
        <v>0.2</v>
      </c>
    </row>
    <row r="325" spans="1:3">
      <c r="A325" s="23" t="s">
        <v>547</v>
      </c>
      <c r="B325" s="24">
        <v>125773</v>
      </c>
      <c r="C325" s="67">
        <v>0.26</v>
      </c>
    </row>
    <row r="326" spans="1:3">
      <c r="A326" s="23" t="s">
        <v>548</v>
      </c>
      <c r="B326" s="24">
        <v>125127</v>
      </c>
      <c r="C326" s="67" t="s">
        <v>549</v>
      </c>
    </row>
    <row r="327" spans="1:3">
      <c r="A327" s="23" t="s">
        <v>550</v>
      </c>
      <c r="B327" s="24">
        <v>124853</v>
      </c>
      <c r="C327" s="67" t="s">
        <v>551</v>
      </c>
    </row>
    <row r="328" spans="1:3">
      <c r="A328" s="23" t="s">
        <v>552</v>
      </c>
      <c r="B328" s="24">
        <v>122565</v>
      </c>
      <c r="C328" s="67">
        <v>7.25</v>
      </c>
    </row>
    <row r="329" spans="1:3">
      <c r="A329" s="23" t="s">
        <v>553</v>
      </c>
      <c r="B329" s="24">
        <v>121989</v>
      </c>
      <c r="C329" s="67">
        <v>2.7</v>
      </c>
    </row>
    <row r="330" spans="1:3">
      <c r="A330" s="23" t="s">
        <v>554</v>
      </c>
      <c r="B330" s="24">
        <v>121629</v>
      </c>
      <c r="C330" s="67">
        <v>0.09</v>
      </c>
    </row>
    <row r="331" spans="1:3">
      <c r="A331" s="23" t="s">
        <v>555</v>
      </c>
      <c r="B331" s="24">
        <v>120817</v>
      </c>
      <c r="C331" s="67" t="s">
        <v>556</v>
      </c>
    </row>
    <row r="332" spans="1:3">
      <c r="A332" s="23" t="s">
        <v>557</v>
      </c>
      <c r="B332" s="24">
        <v>120338</v>
      </c>
      <c r="C332" s="67">
        <v>2.56</v>
      </c>
    </row>
    <row r="333" spans="1:3">
      <c r="A333" s="23" t="s">
        <v>558</v>
      </c>
      <c r="B333" s="24">
        <v>120269</v>
      </c>
      <c r="C333" s="67" t="s">
        <v>559</v>
      </c>
    </row>
    <row r="334" spans="1:3">
      <c r="A334" s="23" t="s">
        <v>560</v>
      </c>
      <c r="B334" s="24">
        <v>119124</v>
      </c>
      <c r="C334" s="67" t="s">
        <v>561</v>
      </c>
    </row>
    <row r="335" spans="1:3">
      <c r="A335" s="23" t="s">
        <v>562</v>
      </c>
      <c r="B335" s="24">
        <v>118331</v>
      </c>
      <c r="C335" s="67">
        <v>0.25</v>
      </c>
    </row>
    <row r="336" spans="1:3">
      <c r="A336" s="23" t="s">
        <v>563</v>
      </c>
      <c r="B336" s="24">
        <v>117135</v>
      </c>
      <c r="C336" s="67">
        <v>3.21</v>
      </c>
    </row>
    <row r="337" spans="1:3">
      <c r="A337" s="23" t="s">
        <v>564</v>
      </c>
      <c r="B337" s="24">
        <v>116427</v>
      </c>
      <c r="C337" s="67" t="s">
        <v>565</v>
      </c>
    </row>
    <row r="338" spans="1:3">
      <c r="A338" s="23" t="s">
        <v>566</v>
      </c>
      <c r="B338" s="24">
        <v>115272</v>
      </c>
      <c r="C338" s="67">
        <v>3.72</v>
      </c>
    </row>
    <row r="339" spans="1:3">
      <c r="A339" s="23" t="s">
        <v>567</v>
      </c>
      <c r="B339" s="24">
        <v>113982</v>
      </c>
      <c r="C339" s="67">
        <v>2.94</v>
      </c>
    </row>
    <row r="340" spans="1:3">
      <c r="A340" s="23" t="s">
        <v>568</v>
      </c>
      <c r="B340" s="24">
        <v>113583</v>
      </c>
      <c r="C340" s="67">
        <v>0.99</v>
      </c>
    </row>
    <row r="341" spans="1:3">
      <c r="A341" s="23" t="s">
        <v>569</v>
      </c>
      <c r="B341" s="24">
        <v>113533</v>
      </c>
      <c r="C341" s="67" t="s">
        <v>570</v>
      </c>
    </row>
    <row r="342" spans="1:3">
      <c r="A342" s="23" t="s">
        <v>571</v>
      </c>
      <c r="B342" s="24">
        <v>113239</v>
      </c>
      <c r="C342" s="67" t="s">
        <v>572</v>
      </c>
    </row>
    <row r="343" spans="1:3">
      <c r="A343" s="23" t="s">
        <v>573</v>
      </c>
      <c r="B343" s="24">
        <v>113236</v>
      </c>
      <c r="C343" s="67" t="s">
        <v>307</v>
      </c>
    </row>
    <row r="344" spans="1:3">
      <c r="A344" s="23" t="s">
        <v>574</v>
      </c>
      <c r="B344" s="24">
        <v>113140</v>
      </c>
      <c r="C344" s="67" t="s">
        <v>575</v>
      </c>
    </row>
    <row r="345" spans="1:3">
      <c r="A345" s="23" t="s">
        <v>576</v>
      </c>
      <c r="B345" s="24">
        <v>112951</v>
      </c>
      <c r="C345" s="67">
        <v>0.94</v>
      </c>
    </row>
    <row r="346" spans="1:3">
      <c r="A346" s="23" t="s">
        <v>577</v>
      </c>
      <c r="B346" s="24">
        <v>111348</v>
      </c>
      <c r="C346" s="67" t="s">
        <v>578</v>
      </c>
    </row>
    <row r="347" spans="1:3">
      <c r="A347" s="23" t="s">
        <v>579</v>
      </c>
      <c r="B347" s="24">
        <v>110979</v>
      </c>
      <c r="C347" s="67" t="s">
        <v>580</v>
      </c>
    </row>
    <row r="348" spans="1:3">
      <c r="A348" s="23" t="s">
        <v>581</v>
      </c>
      <c r="B348" s="24">
        <v>109778</v>
      </c>
      <c r="C348" s="67">
        <v>8.44</v>
      </c>
    </row>
    <row r="349" spans="1:3">
      <c r="A349" s="23" t="s">
        <v>582</v>
      </c>
      <c r="B349" s="24">
        <v>108417</v>
      </c>
      <c r="C349" s="67">
        <v>8.7100000000000009</v>
      </c>
    </row>
    <row r="350" spans="1:3">
      <c r="A350" s="23" t="s">
        <v>583</v>
      </c>
      <c r="B350" s="24">
        <v>107914</v>
      </c>
      <c r="C350" s="67">
        <v>3.91</v>
      </c>
    </row>
    <row r="351" spans="1:3">
      <c r="A351" s="23" t="s">
        <v>584</v>
      </c>
      <c r="B351" s="24">
        <v>106410</v>
      </c>
      <c r="C351" s="67" t="s">
        <v>585</v>
      </c>
    </row>
    <row r="352" spans="1:3">
      <c r="A352" s="23" t="s">
        <v>586</v>
      </c>
      <c r="B352" s="24">
        <v>105602</v>
      </c>
      <c r="C352" s="67" t="s">
        <v>587</v>
      </c>
    </row>
    <row r="353" spans="1:3">
      <c r="A353" s="23" t="s">
        <v>588</v>
      </c>
      <c r="B353" s="24">
        <v>105193</v>
      </c>
      <c r="C353" s="67">
        <v>1.57</v>
      </c>
    </row>
    <row r="354" spans="1:3">
      <c r="A354" s="23" t="s">
        <v>589</v>
      </c>
      <c r="B354" s="24">
        <v>104776</v>
      </c>
      <c r="C354" s="67" t="s">
        <v>590</v>
      </c>
    </row>
    <row r="355" spans="1:3">
      <c r="A355" s="23" t="s">
        <v>591</v>
      </c>
      <c r="B355" s="24">
        <v>104269</v>
      </c>
      <c r="C355" s="67">
        <v>0.11</v>
      </c>
    </row>
    <row r="356" spans="1:3">
      <c r="A356" s="23" t="s">
        <v>592</v>
      </c>
      <c r="B356" s="24">
        <v>104184</v>
      </c>
      <c r="C356" s="67" t="s">
        <v>593</v>
      </c>
    </row>
    <row r="357" spans="1:3">
      <c r="A357" s="23" t="s">
        <v>594</v>
      </c>
      <c r="B357" s="24">
        <v>103207</v>
      </c>
      <c r="C357" s="67" t="s">
        <v>409</v>
      </c>
    </row>
    <row r="358" spans="1:3">
      <c r="A358" s="23" t="s">
        <v>595</v>
      </c>
      <c r="B358" s="24">
        <v>102651</v>
      </c>
      <c r="C358" s="67" t="s">
        <v>596</v>
      </c>
    </row>
    <row r="359" spans="1:3">
      <c r="A359" s="23" t="s">
        <v>597</v>
      </c>
      <c r="B359" s="24">
        <v>102395</v>
      </c>
      <c r="C359" s="67" t="s">
        <v>318</v>
      </c>
    </row>
    <row r="360" spans="1:3">
      <c r="A360" s="23" t="s">
        <v>598</v>
      </c>
      <c r="B360" s="24">
        <v>101783</v>
      </c>
      <c r="C360" s="67">
        <v>1.26</v>
      </c>
    </row>
    <row r="361" spans="1:3">
      <c r="A361" s="23" t="s">
        <v>599</v>
      </c>
      <c r="B361" s="24">
        <v>101390</v>
      </c>
      <c r="C361" s="67">
        <v>2.85</v>
      </c>
    </row>
    <row r="362" spans="1:3">
      <c r="A362" s="23" t="s">
        <v>600</v>
      </c>
      <c r="B362" s="24">
        <v>100866</v>
      </c>
      <c r="C362" s="67" t="s">
        <v>601</v>
      </c>
    </row>
    <row r="363" spans="1:3">
      <c r="A363" s="23" t="s">
        <v>602</v>
      </c>
      <c r="B363" s="24">
        <v>100737</v>
      </c>
      <c r="C363" s="67" t="s">
        <v>525</v>
      </c>
    </row>
    <row r="364" spans="1:3">
      <c r="A364" s="23" t="s">
        <v>603</v>
      </c>
      <c r="B364" s="24">
        <v>99902</v>
      </c>
      <c r="C364" s="67" t="s">
        <v>604</v>
      </c>
    </row>
    <row r="365" spans="1:3">
      <c r="A365" s="23" t="s">
        <v>605</v>
      </c>
      <c r="B365" s="24">
        <v>99242</v>
      </c>
      <c r="C365" s="67" t="s">
        <v>606</v>
      </c>
    </row>
    <row r="366" spans="1:3">
      <c r="A366" s="23" t="s">
        <v>607</v>
      </c>
      <c r="B366" s="24">
        <v>99170</v>
      </c>
      <c r="C366" s="67">
        <v>0.85</v>
      </c>
    </row>
    <row r="367" spans="1:3">
      <c r="A367" s="23" t="s">
        <v>608</v>
      </c>
      <c r="B367" s="24">
        <v>98899</v>
      </c>
      <c r="C367" s="67">
        <v>3.9</v>
      </c>
    </row>
    <row r="368" spans="1:3">
      <c r="A368" s="23" t="s">
        <v>609</v>
      </c>
      <c r="B368" s="24">
        <v>98862</v>
      </c>
      <c r="C368" s="67">
        <v>1.38</v>
      </c>
    </row>
    <row r="369" spans="1:3">
      <c r="A369" s="23" t="s">
        <v>610</v>
      </c>
      <c r="B369" s="24">
        <v>96735</v>
      </c>
      <c r="C369" s="67">
        <v>7.68</v>
      </c>
    </row>
    <row r="370" spans="1:3">
      <c r="A370" s="23" t="s">
        <v>611</v>
      </c>
      <c r="B370" s="24">
        <v>94951</v>
      </c>
      <c r="C370" s="67" t="s">
        <v>590</v>
      </c>
    </row>
    <row r="371" spans="1:3">
      <c r="A371" s="23" t="s">
        <v>612</v>
      </c>
      <c r="B371" s="24">
        <v>91010</v>
      </c>
      <c r="C371" s="67">
        <v>4.59</v>
      </c>
    </row>
    <row r="372" spans="1:3">
      <c r="A372" s="23" t="s">
        <v>613</v>
      </c>
      <c r="B372" s="24">
        <v>89046</v>
      </c>
      <c r="C372" s="67">
        <v>9.36</v>
      </c>
    </row>
    <row r="373" spans="1:3">
      <c r="A373" s="23" t="s">
        <v>614</v>
      </c>
      <c r="B373" s="24">
        <v>88276</v>
      </c>
      <c r="C373" s="67">
        <v>0.21</v>
      </c>
    </row>
    <row r="374" spans="1:3">
      <c r="A374" s="23" t="s">
        <v>615</v>
      </c>
      <c r="B374" s="24">
        <v>87681</v>
      </c>
      <c r="C374" s="67" t="s">
        <v>616</v>
      </c>
    </row>
    <row r="375" spans="1:3">
      <c r="A375" s="23" t="s">
        <v>617</v>
      </c>
      <c r="B375" s="24">
        <v>84741</v>
      </c>
      <c r="C375" s="67">
        <v>3.08</v>
      </c>
    </row>
    <row r="376" spans="1:3">
      <c r="A376" s="23" t="s">
        <v>618</v>
      </c>
      <c r="B376" s="24">
        <v>84523</v>
      </c>
      <c r="C376" s="67">
        <v>0.13</v>
      </c>
    </row>
    <row r="377" spans="1:3">
      <c r="A377" s="23" t="s">
        <v>619</v>
      </c>
      <c r="B377" s="24">
        <v>84082</v>
      </c>
      <c r="C377" s="67">
        <v>0.51</v>
      </c>
    </row>
    <row r="378" spans="1:3">
      <c r="A378" s="23" t="s">
        <v>620</v>
      </c>
      <c r="B378" s="24">
        <v>84022</v>
      </c>
      <c r="C378" s="67">
        <v>0.63</v>
      </c>
    </row>
    <row r="379" spans="1:3">
      <c r="A379" s="23" t="s">
        <v>621</v>
      </c>
      <c r="B379" s="24">
        <v>81115</v>
      </c>
      <c r="C379" s="67" t="s">
        <v>622</v>
      </c>
    </row>
    <row r="380" spans="1:3">
      <c r="A380" s="23" t="s">
        <v>623</v>
      </c>
      <c r="B380" s="24">
        <v>80410</v>
      </c>
      <c r="C380" s="67">
        <v>0.56999999999999995</v>
      </c>
    </row>
    <row r="381" spans="1:3">
      <c r="A381" s="23" t="s">
        <v>624</v>
      </c>
      <c r="B381" s="24">
        <v>77278</v>
      </c>
      <c r="C381" s="67">
        <v>0.31</v>
      </c>
    </row>
    <row r="382" spans="1:3">
      <c r="A382" s="23" t="s">
        <v>625</v>
      </c>
      <c r="B382" s="24">
        <v>75938</v>
      </c>
      <c r="C382" s="67" t="s">
        <v>626</v>
      </c>
    </row>
    <row r="383" spans="1:3">
      <c r="A383" s="23" t="s">
        <v>627</v>
      </c>
      <c r="B383" s="24">
        <v>65370</v>
      </c>
      <c r="C383" s="67">
        <v>1.55</v>
      </c>
    </row>
    <row r="384" spans="1:3">
      <c r="A384" s="23" t="s">
        <v>628</v>
      </c>
      <c r="B384" s="24">
        <v>62068</v>
      </c>
      <c r="C384" s="67" t="s">
        <v>629</v>
      </c>
    </row>
    <row r="385" spans="1:3">
      <c r="A385" s="23" t="s">
        <v>630</v>
      </c>
      <c r="B385" s="24">
        <v>62007</v>
      </c>
      <c r="C385" s="67" t="s">
        <v>631</v>
      </c>
    </row>
    <row r="386" spans="1:3">
      <c r="A386" s="23" t="s">
        <v>632</v>
      </c>
      <c r="B386" s="24">
        <v>58829</v>
      </c>
      <c r="C386" s="67">
        <v>1.63</v>
      </c>
    </row>
    <row r="387" spans="1:3">
      <c r="A387" s="28" t="s">
        <v>633</v>
      </c>
      <c r="B387" s="30">
        <v>58148</v>
      </c>
      <c r="C387" s="67" t="s">
        <v>634</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76780-8890-4A67-8DED-2B9EA1607F5E}">
  <sheetPr codeName="Sheet10"/>
  <dimension ref="A1:B45"/>
  <sheetViews>
    <sheetView topLeftCell="A12" workbookViewId="0">
      <selection activeCell="D9" sqref="D9"/>
    </sheetView>
  </sheetViews>
  <sheetFormatPr defaultRowHeight="14.45"/>
  <cols>
    <col min="1" max="1" width="26.42578125" bestFit="1" customWidth="1"/>
    <col min="2" max="2" width="37.85546875" bestFit="1" customWidth="1"/>
  </cols>
  <sheetData>
    <row r="1" spans="1:2">
      <c r="A1" s="14" t="s">
        <v>218</v>
      </c>
      <c r="B1" s="15" t="s">
        <v>635</v>
      </c>
    </row>
    <row r="2" spans="1:2">
      <c r="A2" s="43" t="s">
        <v>22</v>
      </c>
      <c r="B2" s="70">
        <v>40.1</v>
      </c>
    </row>
    <row r="3" spans="1:2">
      <c r="A3" s="43" t="s">
        <v>86</v>
      </c>
      <c r="B3" s="70">
        <v>41.8</v>
      </c>
    </row>
    <row r="4" spans="1:2">
      <c r="A4" s="43" t="s">
        <v>27</v>
      </c>
      <c r="B4" s="70">
        <v>46.9</v>
      </c>
    </row>
    <row r="5" spans="1:2">
      <c r="A5" s="43" t="s">
        <v>90</v>
      </c>
      <c r="B5" s="70">
        <v>41.3</v>
      </c>
    </row>
    <row r="6" spans="1:2">
      <c r="A6" s="43" t="s">
        <v>98</v>
      </c>
      <c r="B6" s="70">
        <v>40.9</v>
      </c>
    </row>
    <row r="7" spans="1:2">
      <c r="A7" s="43" t="s">
        <v>102</v>
      </c>
      <c r="B7" s="70">
        <v>40.6</v>
      </c>
    </row>
    <row r="8" spans="1:2">
      <c r="A8" s="43" t="s">
        <v>32</v>
      </c>
      <c r="B8" s="70">
        <v>39.5</v>
      </c>
    </row>
    <row r="9" spans="1:2">
      <c r="A9" s="43" t="s">
        <v>106</v>
      </c>
      <c r="B9" s="70">
        <v>37.200000000000003</v>
      </c>
    </row>
    <row r="10" spans="1:2">
      <c r="A10" s="43" t="s">
        <v>36</v>
      </c>
      <c r="B10" s="70">
        <v>42.2</v>
      </c>
    </row>
    <row r="11" spans="1:2">
      <c r="A11" s="43" t="s">
        <v>110</v>
      </c>
      <c r="B11" s="70">
        <v>43.2</v>
      </c>
    </row>
    <row r="12" spans="1:2">
      <c r="A12" s="43" t="s">
        <v>114</v>
      </c>
      <c r="B12" s="70">
        <v>44.7</v>
      </c>
    </row>
    <row r="13" spans="1:2">
      <c r="A13" s="43" t="s">
        <v>118</v>
      </c>
      <c r="B13" s="70">
        <v>37.9</v>
      </c>
    </row>
    <row r="14" spans="1:2">
      <c r="A14" s="43" t="s">
        <v>126</v>
      </c>
      <c r="B14" s="70">
        <v>42.6</v>
      </c>
    </row>
    <row r="15" spans="1:2">
      <c r="A15" s="43" t="s">
        <v>130</v>
      </c>
      <c r="B15" s="70">
        <v>41</v>
      </c>
    </row>
    <row r="16" spans="1:2">
      <c r="A16" s="43" t="s">
        <v>39</v>
      </c>
      <c r="B16" s="70">
        <v>39.299999999999997</v>
      </c>
    </row>
    <row r="17" spans="1:2">
      <c r="A17" s="43" t="s">
        <v>42</v>
      </c>
      <c r="B17" s="70">
        <v>40.299999999999997</v>
      </c>
    </row>
    <row r="18" spans="1:2">
      <c r="A18" s="43" t="s">
        <v>46</v>
      </c>
      <c r="B18" s="70">
        <v>40.9</v>
      </c>
    </row>
    <row r="19" spans="1:2">
      <c r="A19" s="43" t="s">
        <v>134</v>
      </c>
      <c r="B19" s="70">
        <v>41.8</v>
      </c>
    </row>
    <row r="20" spans="1:2">
      <c r="A20" s="43" t="s">
        <v>49</v>
      </c>
      <c r="B20" s="70">
        <v>38.9</v>
      </c>
    </row>
    <row r="21" spans="1:2">
      <c r="A21" s="43" t="s">
        <v>141</v>
      </c>
      <c r="B21" s="70">
        <v>40.200000000000003</v>
      </c>
    </row>
    <row r="22" spans="1:2">
      <c r="A22" s="43" t="s">
        <v>145</v>
      </c>
      <c r="B22" s="70">
        <v>37.299999999999997</v>
      </c>
    </row>
    <row r="23" spans="1:2">
      <c r="A23" s="43" t="s">
        <v>149</v>
      </c>
      <c r="B23" s="70">
        <v>39.700000000000003</v>
      </c>
    </row>
    <row r="24" spans="1:2">
      <c r="A24" s="43" t="s">
        <v>153</v>
      </c>
      <c r="B24" s="70">
        <v>40.5</v>
      </c>
    </row>
    <row r="25" spans="1:2">
      <c r="A25" s="43" t="s">
        <v>52</v>
      </c>
      <c r="B25" s="70">
        <v>42.8</v>
      </c>
    </row>
    <row r="26" spans="1:2">
      <c r="A26" s="43" t="s">
        <v>157</v>
      </c>
      <c r="B26" s="70">
        <v>39</v>
      </c>
    </row>
    <row r="27" spans="1:2">
      <c r="A27" s="43" t="s">
        <v>94</v>
      </c>
      <c r="B27" s="70">
        <v>39.5</v>
      </c>
    </row>
    <row r="28" spans="1:2">
      <c r="A28" s="43" t="s">
        <v>164</v>
      </c>
      <c r="B28" s="70">
        <v>42.7</v>
      </c>
    </row>
    <row r="29" spans="1:2">
      <c r="A29" s="43" t="s">
        <v>55</v>
      </c>
      <c r="B29" s="70">
        <v>41</v>
      </c>
    </row>
    <row r="30" spans="1:2">
      <c r="A30" s="43" t="s">
        <v>168</v>
      </c>
      <c r="B30" s="70">
        <v>41.9</v>
      </c>
    </row>
    <row r="31" spans="1:2">
      <c r="A31" s="43" t="s">
        <v>172</v>
      </c>
      <c r="B31" s="70">
        <v>39.9</v>
      </c>
    </row>
    <row r="32" spans="1:2">
      <c r="A32" s="43" t="s">
        <v>176</v>
      </c>
      <c r="B32" s="70">
        <v>41.2</v>
      </c>
    </row>
    <row r="33" spans="1:2">
      <c r="A33" s="43" t="s">
        <v>58</v>
      </c>
      <c r="B33" s="70">
        <v>37.1</v>
      </c>
    </row>
    <row r="34" spans="1:2">
      <c r="A34" s="43" t="s">
        <v>180</v>
      </c>
      <c r="B34" s="70">
        <v>42.1</v>
      </c>
    </row>
    <row r="35" spans="1:2">
      <c r="A35" s="43" t="s">
        <v>184</v>
      </c>
      <c r="B35" s="70">
        <v>40.9</v>
      </c>
    </row>
    <row r="36" spans="1:2">
      <c r="A36" s="43" t="s">
        <v>67</v>
      </c>
      <c r="B36" s="70">
        <v>38.799999999999997</v>
      </c>
    </row>
    <row r="37" spans="1:2">
      <c r="A37" s="43" t="s">
        <v>196</v>
      </c>
      <c r="B37" s="70">
        <v>45.5</v>
      </c>
    </row>
    <row r="38" spans="1:2">
      <c r="A38" s="43" t="s">
        <v>188</v>
      </c>
      <c r="B38" s="70">
        <v>42.9</v>
      </c>
    </row>
    <row r="39" spans="1:2">
      <c r="A39" s="43" t="s">
        <v>61</v>
      </c>
      <c r="B39" s="70">
        <v>43.5</v>
      </c>
    </row>
    <row r="40" spans="1:2">
      <c r="A40" s="43" t="s">
        <v>122</v>
      </c>
      <c r="B40" s="70">
        <v>40.700000000000003</v>
      </c>
    </row>
    <row r="41" spans="1:2">
      <c r="A41" s="43" t="s">
        <v>64</v>
      </c>
      <c r="B41" s="70">
        <v>44.2</v>
      </c>
    </row>
    <row r="42" spans="1:2">
      <c r="A42" s="43" t="s">
        <v>70</v>
      </c>
      <c r="B42" s="70">
        <v>37.700000000000003</v>
      </c>
    </row>
    <row r="43" spans="1:2">
      <c r="A43" s="43" t="s">
        <v>192</v>
      </c>
      <c r="B43" s="70">
        <v>43.3</v>
      </c>
    </row>
    <row r="44" spans="1:2" ht="29.1">
      <c r="A44" s="43" t="s">
        <v>73</v>
      </c>
      <c r="B44" s="70">
        <v>41.9</v>
      </c>
    </row>
    <row r="45" spans="1:2">
      <c r="A45" s="16" t="s">
        <v>200</v>
      </c>
      <c r="B45" s="71">
        <v>41.3</v>
      </c>
    </row>
  </sheetData>
  <conditionalFormatting sqref="B2:B45">
    <cfRule type="cellIs" dxfId="48" priority="1" operator="lessThan">
      <formula>38</formula>
    </cfRule>
    <cfRule type="cellIs" dxfId="47" priority="2" operator="greaterThan">
      <formula>42</formula>
    </cfRule>
  </conditionalFormatting>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17F66-A42B-48E1-B2AA-2E632B989F01}">
  <sheetPr codeName="Sheet9"/>
  <dimension ref="A1:C393"/>
  <sheetViews>
    <sheetView topLeftCell="A352" workbookViewId="0">
      <selection activeCell="C384" sqref="C384"/>
    </sheetView>
  </sheetViews>
  <sheetFormatPr defaultRowHeight="14.45"/>
  <cols>
    <col min="1" max="1" width="43.5703125" style="10" customWidth="1"/>
    <col min="2" max="2" width="13.5703125" style="10" customWidth="1"/>
    <col min="3" max="3" width="10.5703125" style="10" customWidth="1"/>
  </cols>
  <sheetData>
    <row r="1" spans="1:3" ht="37.5">
      <c r="A1" s="39" t="s">
        <v>218</v>
      </c>
      <c r="B1" s="40" t="s">
        <v>636</v>
      </c>
      <c r="C1" s="40" t="s">
        <v>637</v>
      </c>
    </row>
    <row r="2" spans="1:3">
      <c r="A2" s="41" t="s">
        <v>638</v>
      </c>
      <c r="B2" s="42">
        <v>148036</v>
      </c>
      <c r="C2" s="42">
        <v>1</v>
      </c>
    </row>
    <row r="3" spans="1:3">
      <c r="A3" s="41" t="s">
        <v>639</v>
      </c>
      <c r="B3" s="42">
        <v>143469</v>
      </c>
      <c r="C3" s="42">
        <v>2</v>
      </c>
    </row>
    <row r="4" spans="1:3">
      <c r="A4" s="41" t="s">
        <v>640</v>
      </c>
      <c r="B4" s="42">
        <v>139006</v>
      </c>
      <c r="C4" s="42">
        <v>3</v>
      </c>
    </row>
    <row r="5" spans="1:3">
      <c r="A5" s="41" t="s">
        <v>641</v>
      </c>
      <c r="B5" s="42">
        <v>134527</v>
      </c>
      <c r="C5" s="42">
        <v>4</v>
      </c>
    </row>
    <row r="6" spans="1:3">
      <c r="A6" s="41" t="s">
        <v>122</v>
      </c>
      <c r="B6" s="42">
        <v>130730</v>
      </c>
      <c r="C6" s="42">
        <v>5</v>
      </c>
    </row>
    <row r="7" spans="1:3">
      <c r="A7" s="41" t="s">
        <v>642</v>
      </c>
      <c r="B7" s="42">
        <v>105827</v>
      </c>
      <c r="C7" s="42">
        <v>6</v>
      </c>
    </row>
    <row r="8" spans="1:3">
      <c r="A8" s="41" t="s">
        <v>90</v>
      </c>
      <c r="B8" s="42">
        <v>100880</v>
      </c>
      <c r="C8" s="42">
        <v>7</v>
      </c>
    </row>
    <row r="9" spans="1:3">
      <c r="A9" s="41" t="s">
        <v>643</v>
      </c>
      <c r="B9" s="42">
        <v>100242</v>
      </c>
      <c r="C9" s="42">
        <v>8</v>
      </c>
    </row>
    <row r="10" spans="1:3">
      <c r="A10" s="41" t="s">
        <v>64</v>
      </c>
      <c r="B10" s="42">
        <v>99339</v>
      </c>
      <c r="C10" s="42">
        <v>9</v>
      </c>
    </row>
    <row r="11" spans="1:3">
      <c r="A11" s="41" t="s">
        <v>644</v>
      </c>
      <c r="B11" s="42">
        <v>94973</v>
      </c>
      <c r="C11" s="42">
        <v>10</v>
      </c>
    </row>
    <row r="12" spans="1:3">
      <c r="A12" s="41" t="s">
        <v>645</v>
      </c>
      <c r="B12" s="42">
        <v>92417</v>
      </c>
      <c r="C12" s="42">
        <v>11</v>
      </c>
    </row>
    <row r="13" spans="1:3">
      <c r="A13" s="41" t="s">
        <v>94</v>
      </c>
      <c r="B13" s="42">
        <v>91448</v>
      </c>
      <c r="C13" s="42">
        <v>12</v>
      </c>
    </row>
    <row r="14" spans="1:3">
      <c r="A14" s="41" t="s">
        <v>646</v>
      </c>
      <c r="B14" s="42">
        <v>90472</v>
      </c>
      <c r="C14" s="42">
        <v>13</v>
      </c>
    </row>
    <row r="15" spans="1:3">
      <c r="A15" s="41" t="s">
        <v>200</v>
      </c>
      <c r="B15" s="42">
        <v>89396</v>
      </c>
      <c r="C15" s="42">
        <v>14</v>
      </c>
    </row>
    <row r="16" spans="1:3">
      <c r="A16" s="41" t="s">
        <v>114</v>
      </c>
      <c r="B16" s="42">
        <v>89297</v>
      </c>
      <c r="C16" s="42">
        <v>15</v>
      </c>
    </row>
    <row r="17" spans="1:3">
      <c r="A17" s="41" t="s">
        <v>647</v>
      </c>
      <c r="B17" s="42">
        <v>89095</v>
      </c>
      <c r="C17" s="42">
        <v>16</v>
      </c>
    </row>
    <row r="18" spans="1:3">
      <c r="A18" s="41" t="s">
        <v>648</v>
      </c>
      <c r="B18" s="42">
        <v>88581</v>
      </c>
      <c r="C18" s="42">
        <v>17</v>
      </c>
    </row>
    <row r="19" spans="1:3">
      <c r="A19" s="41" t="s">
        <v>649</v>
      </c>
      <c r="B19" s="42">
        <v>84392</v>
      </c>
      <c r="C19" s="42">
        <v>18</v>
      </c>
    </row>
    <row r="20" spans="1:3">
      <c r="A20" s="41" t="s">
        <v>145</v>
      </c>
      <c r="B20" s="42">
        <v>84302</v>
      </c>
      <c r="C20" s="42">
        <v>19</v>
      </c>
    </row>
    <row r="21" spans="1:3">
      <c r="A21" s="41" t="s">
        <v>650</v>
      </c>
      <c r="B21" s="42">
        <v>83408</v>
      </c>
      <c r="C21" s="42">
        <v>20</v>
      </c>
    </row>
    <row r="22" spans="1:3">
      <c r="A22" s="41" t="s">
        <v>651</v>
      </c>
      <c r="B22" s="42">
        <v>82736</v>
      </c>
      <c r="C22" s="42">
        <v>21</v>
      </c>
    </row>
    <row r="23" spans="1:3">
      <c r="A23" s="41" t="s">
        <v>652</v>
      </c>
      <c r="B23" s="42">
        <v>81358</v>
      </c>
      <c r="C23" s="42">
        <v>22</v>
      </c>
    </row>
    <row r="24" spans="1:3">
      <c r="A24" s="41" t="s">
        <v>653</v>
      </c>
      <c r="B24" s="42">
        <v>81025</v>
      </c>
      <c r="C24" s="42">
        <v>23</v>
      </c>
    </row>
    <row r="25" spans="1:3">
      <c r="A25" s="41" t="s">
        <v>134</v>
      </c>
      <c r="B25" s="42">
        <v>80898</v>
      </c>
      <c r="C25" s="42">
        <v>24</v>
      </c>
    </row>
    <row r="26" spans="1:3">
      <c r="A26" s="41" t="s">
        <v>27</v>
      </c>
      <c r="B26" s="42">
        <v>80471</v>
      </c>
      <c r="C26" s="42">
        <v>25</v>
      </c>
    </row>
    <row r="27" spans="1:3">
      <c r="A27" s="41" t="s">
        <v>654</v>
      </c>
      <c r="B27" s="42">
        <v>79846</v>
      </c>
      <c r="C27" s="42">
        <v>26</v>
      </c>
    </row>
    <row r="28" spans="1:3">
      <c r="A28" s="41" t="s">
        <v>153</v>
      </c>
      <c r="B28" s="42">
        <v>79654</v>
      </c>
      <c r="C28" s="42">
        <v>27</v>
      </c>
    </row>
    <row r="29" spans="1:3">
      <c r="A29" s="41" t="s">
        <v>52</v>
      </c>
      <c r="B29" s="42">
        <v>79453</v>
      </c>
      <c r="C29" s="42">
        <v>28</v>
      </c>
    </row>
    <row r="30" spans="1:3">
      <c r="A30" s="41" t="s">
        <v>61</v>
      </c>
      <c r="B30" s="42">
        <v>79122</v>
      </c>
      <c r="C30" s="42">
        <v>29</v>
      </c>
    </row>
    <row r="31" spans="1:3">
      <c r="A31" s="41" t="s">
        <v>655</v>
      </c>
      <c r="B31" s="42">
        <v>78963</v>
      </c>
      <c r="C31" s="42">
        <v>30</v>
      </c>
    </row>
    <row r="32" spans="1:3">
      <c r="A32" s="41" t="s">
        <v>172</v>
      </c>
      <c r="B32" s="42">
        <v>78761</v>
      </c>
      <c r="C32" s="42">
        <v>31</v>
      </c>
    </row>
    <row r="33" spans="1:3">
      <c r="A33" s="41" t="s">
        <v>656</v>
      </c>
      <c r="B33" s="42">
        <v>78354</v>
      </c>
      <c r="C33" s="42">
        <v>32</v>
      </c>
    </row>
    <row r="34" spans="1:3">
      <c r="A34" s="41" t="s">
        <v>657</v>
      </c>
      <c r="B34" s="42">
        <v>78091</v>
      </c>
      <c r="C34" s="42">
        <v>33</v>
      </c>
    </row>
    <row r="35" spans="1:3">
      <c r="A35" s="41" t="s">
        <v>658</v>
      </c>
      <c r="B35" s="42">
        <v>78085</v>
      </c>
      <c r="C35" s="42">
        <v>34</v>
      </c>
    </row>
    <row r="36" spans="1:3">
      <c r="A36" s="41" t="s">
        <v>659</v>
      </c>
      <c r="B36" s="42">
        <v>77717</v>
      </c>
      <c r="C36" s="42">
        <v>35</v>
      </c>
    </row>
    <row r="37" spans="1:3">
      <c r="A37" s="41" t="s">
        <v>660</v>
      </c>
      <c r="B37" s="42">
        <v>77537</v>
      </c>
      <c r="C37" s="42">
        <v>36</v>
      </c>
    </row>
    <row r="38" spans="1:3">
      <c r="A38" s="41" t="s">
        <v>102</v>
      </c>
      <c r="B38" s="42">
        <v>77429</v>
      </c>
      <c r="C38" s="42">
        <v>37</v>
      </c>
    </row>
    <row r="39" spans="1:3">
      <c r="A39" s="41" t="s">
        <v>661</v>
      </c>
      <c r="B39" s="42">
        <v>76923</v>
      </c>
      <c r="C39" s="42">
        <v>38</v>
      </c>
    </row>
    <row r="40" spans="1:3">
      <c r="A40" s="41" t="s">
        <v>662</v>
      </c>
      <c r="B40" s="42">
        <v>76187</v>
      </c>
      <c r="C40" s="42">
        <v>39</v>
      </c>
    </row>
    <row r="41" spans="1:3">
      <c r="A41" s="41" t="s">
        <v>663</v>
      </c>
      <c r="B41" s="42">
        <v>75862</v>
      </c>
      <c r="C41" s="42">
        <v>40</v>
      </c>
    </row>
    <row r="42" spans="1:3">
      <c r="A42" s="41" t="s">
        <v>664</v>
      </c>
      <c r="B42" s="42">
        <v>75647</v>
      </c>
      <c r="C42" s="42">
        <v>41</v>
      </c>
    </row>
    <row r="43" spans="1:3">
      <c r="A43" s="41" t="s">
        <v>67</v>
      </c>
      <c r="B43" s="42">
        <v>75577</v>
      </c>
      <c r="C43" s="42">
        <v>42</v>
      </c>
    </row>
    <row r="44" spans="1:3">
      <c r="A44" s="41" t="s">
        <v>665</v>
      </c>
      <c r="B44" s="42">
        <v>75241</v>
      </c>
      <c r="C44" s="42">
        <v>43</v>
      </c>
    </row>
    <row r="45" spans="1:3">
      <c r="A45" s="41" t="s">
        <v>666</v>
      </c>
      <c r="B45" s="42">
        <v>75129</v>
      </c>
      <c r="C45" s="42">
        <v>44</v>
      </c>
    </row>
    <row r="46" spans="1:3">
      <c r="A46" s="41" t="s">
        <v>55</v>
      </c>
      <c r="B46" s="42">
        <v>75033</v>
      </c>
      <c r="C46" s="42">
        <v>45</v>
      </c>
    </row>
    <row r="47" spans="1:3">
      <c r="A47" s="41" t="s">
        <v>180</v>
      </c>
      <c r="B47" s="42">
        <v>74992</v>
      </c>
      <c r="C47" s="42">
        <v>46</v>
      </c>
    </row>
    <row r="48" spans="1:3">
      <c r="A48" s="41" t="s">
        <v>667</v>
      </c>
      <c r="B48" s="42">
        <v>74949</v>
      </c>
      <c r="C48" s="42">
        <v>47</v>
      </c>
    </row>
    <row r="49" spans="1:3">
      <c r="A49" s="41" t="s">
        <v>110</v>
      </c>
      <c r="B49" s="42">
        <v>74165</v>
      </c>
      <c r="C49" s="42">
        <v>48</v>
      </c>
    </row>
    <row r="50" spans="1:3">
      <c r="A50" s="41" t="s">
        <v>668</v>
      </c>
      <c r="B50" s="42">
        <v>73841</v>
      </c>
      <c r="C50" s="42">
        <v>49</v>
      </c>
    </row>
    <row r="51" spans="1:3">
      <c r="A51" s="41" t="s">
        <v>669</v>
      </c>
      <c r="B51" s="42">
        <v>73829</v>
      </c>
      <c r="C51" s="42">
        <v>50</v>
      </c>
    </row>
    <row r="52" spans="1:3">
      <c r="A52" s="41" t="s">
        <v>670</v>
      </c>
      <c r="B52" s="42">
        <v>73080</v>
      </c>
      <c r="C52" s="42">
        <v>51</v>
      </c>
    </row>
    <row r="53" spans="1:3">
      <c r="A53" s="41" t="s">
        <v>671</v>
      </c>
      <c r="B53" s="42">
        <v>72721</v>
      </c>
      <c r="C53" s="42">
        <v>52</v>
      </c>
    </row>
    <row r="54" spans="1:3">
      <c r="A54" s="41" t="s">
        <v>130</v>
      </c>
      <c r="B54" s="42">
        <v>72494</v>
      </c>
      <c r="C54" s="42">
        <v>53</v>
      </c>
    </row>
    <row r="55" spans="1:3">
      <c r="A55" s="41" t="s">
        <v>126</v>
      </c>
      <c r="B55" s="42">
        <v>72453</v>
      </c>
      <c r="C55" s="42">
        <v>54</v>
      </c>
    </row>
    <row r="56" spans="1:3">
      <c r="A56" s="41" t="s">
        <v>149</v>
      </c>
      <c r="B56" s="42">
        <v>72316</v>
      </c>
      <c r="C56" s="42">
        <v>55</v>
      </c>
    </row>
    <row r="57" spans="1:3">
      <c r="A57" s="41" t="s">
        <v>672</v>
      </c>
      <c r="B57" s="42">
        <v>72043</v>
      </c>
      <c r="C57" s="42">
        <v>56</v>
      </c>
    </row>
    <row r="58" spans="1:3">
      <c r="A58" s="41" t="s">
        <v>673</v>
      </c>
      <c r="B58" s="42">
        <v>71972</v>
      </c>
      <c r="C58" s="42">
        <v>57</v>
      </c>
    </row>
    <row r="59" spans="1:3">
      <c r="A59" s="41" t="s">
        <v>674</v>
      </c>
      <c r="B59" s="42">
        <v>71933</v>
      </c>
      <c r="C59" s="42">
        <v>58</v>
      </c>
    </row>
    <row r="60" spans="1:3">
      <c r="A60" s="41" t="s">
        <v>675</v>
      </c>
      <c r="B60" s="42">
        <v>71794</v>
      </c>
      <c r="C60" s="42">
        <v>59</v>
      </c>
    </row>
    <row r="61" spans="1:3">
      <c r="A61" s="41" t="s">
        <v>676</v>
      </c>
      <c r="B61" s="42">
        <v>71359</v>
      </c>
      <c r="C61" s="42">
        <v>60</v>
      </c>
    </row>
    <row r="62" spans="1:3">
      <c r="A62" s="41" t="s">
        <v>677</v>
      </c>
      <c r="B62" s="42">
        <v>71231</v>
      </c>
      <c r="C62" s="42">
        <v>61</v>
      </c>
    </row>
    <row r="63" spans="1:3">
      <c r="A63" s="41" t="s">
        <v>678</v>
      </c>
      <c r="B63" s="42">
        <v>70945</v>
      </c>
      <c r="C63" s="42">
        <v>62</v>
      </c>
    </row>
    <row r="64" spans="1:3">
      <c r="A64" s="41" t="s">
        <v>58</v>
      </c>
      <c r="B64" s="42">
        <v>70559</v>
      </c>
      <c r="C64" s="42">
        <v>63</v>
      </c>
    </row>
    <row r="65" spans="1:3">
      <c r="A65" s="41" t="s">
        <v>184</v>
      </c>
      <c r="B65" s="42">
        <v>70418</v>
      </c>
      <c r="C65" s="42">
        <v>64</v>
      </c>
    </row>
    <row r="66" spans="1:3">
      <c r="A66" s="41" t="s">
        <v>196</v>
      </c>
      <c r="B66" s="42">
        <v>70395</v>
      </c>
      <c r="C66" s="42">
        <v>65</v>
      </c>
    </row>
    <row r="67" spans="1:3">
      <c r="A67" s="41" t="s">
        <v>679</v>
      </c>
      <c r="B67" s="42">
        <v>70353</v>
      </c>
      <c r="C67" s="42">
        <v>66</v>
      </c>
    </row>
    <row r="68" spans="1:3">
      <c r="A68" s="41" t="s">
        <v>680</v>
      </c>
      <c r="B68" s="42">
        <v>70144</v>
      </c>
      <c r="C68" s="42">
        <v>67</v>
      </c>
    </row>
    <row r="69" spans="1:3">
      <c r="A69" s="41" t="s">
        <v>681</v>
      </c>
      <c r="B69" s="42">
        <v>69941</v>
      </c>
      <c r="C69" s="42">
        <v>68</v>
      </c>
    </row>
    <row r="70" spans="1:3">
      <c r="A70" s="41" t="s">
        <v>682</v>
      </c>
      <c r="B70" s="42">
        <v>69893</v>
      </c>
      <c r="C70" s="42">
        <v>69</v>
      </c>
    </row>
    <row r="71" spans="1:3">
      <c r="A71" s="41" t="s">
        <v>42</v>
      </c>
      <c r="B71" s="42">
        <v>69865</v>
      </c>
      <c r="C71" s="42">
        <v>70</v>
      </c>
    </row>
    <row r="72" spans="1:3">
      <c r="A72" s="41" t="s">
        <v>683</v>
      </c>
      <c r="B72" s="42">
        <v>69775</v>
      </c>
      <c r="C72" s="42">
        <v>71</v>
      </c>
    </row>
    <row r="73" spans="1:3">
      <c r="A73" s="41" t="s">
        <v>684</v>
      </c>
      <c r="B73" s="42">
        <v>69755</v>
      </c>
      <c r="C73" s="42">
        <v>72</v>
      </c>
    </row>
    <row r="74" spans="1:3">
      <c r="A74" s="41" t="s">
        <v>98</v>
      </c>
      <c r="B74" s="42">
        <v>69588</v>
      </c>
      <c r="C74" s="42">
        <v>73</v>
      </c>
    </row>
    <row r="75" spans="1:3">
      <c r="A75" s="41" t="s">
        <v>685</v>
      </c>
      <c r="B75" s="42">
        <v>69022</v>
      </c>
      <c r="C75" s="42">
        <v>74</v>
      </c>
    </row>
    <row r="76" spans="1:3">
      <c r="A76" s="41" t="s">
        <v>686</v>
      </c>
      <c r="B76" s="42">
        <v>68943</v>
      </c>
      <c r="C76" s="42">
        <v>75</v>
      </c>
    </row>
    <row r="77" spans="1:3">
      <c r="A77" s="41" t="s">
        <v>687</v>
      </c>
      <c r="B77" s="42">
        <v>68898</v>
      </c>
      <c r="C77" s="42">
        <v>76</v>
      </c>
    </row>
    <row r="78" spans="1:3">
      <c r="A78" s="41" t="s">
        <v>688</v>
      </c>
      <c r="B78" s="42">
        <v>68654</v>
      </c>
      <c r="C78" s="42">
        <v>77</v>
      </c>
    </row>
    <row r="79" spans="1:3">
      <c r="A79" s="41" t="s">
        <v>689</v>
      </c>
      <c r="B79" s="42">
        <v>68561</v>
      </c>
      <c r="C79" s="42">
        <v>78</v>
      </c>
    </row>
    <row r="80" spans="1:3">
      <c r="A80" s="41" t="s">
        <v>32</v>
      </c>
      <c r="B80" s="42">
        <v>68560</v>
      </c>
      <c r="C80" s="42">
        <v>79</v>
      </c>
    </row>
    <row r="81" spans="1:3">
      <c r="A81" s="41" t="s">
        <v>690</v>
      </c>
      <c r="B81" s="42">
        <v>68486</v>
      </c>
      <c r="C81" s="42">
        <v>80</v>
      </c>
    </row>
    <row r="82" spans="1:3">
      <c r="A82" s="41" t="s">
        <v>691</v>
      </c>
      <c r="B82" s="42">
        <v>68420</v>
      </c>
      <c r="C82" s="42">
        <v>81</v>
      </c>
    </row>
    <row r="83" spans="1:3">
      <c r="A83" s="41" t="s">
        <v>692</v>
      </c>
      <c r="B83" s="42">
        <v>68387</v>
      </c>
      <c r="C83" s="42">
        <v>82</v>
      </c>
    </row>
    <row r="84" spans="1:3">
      <c r="A84" s="41" t="s">
        <v>693</v>
      </c>
      <c r="B84" s="42">
        <v>68344</v>
      </c>
      <c r="C84" s="42">
        <v>83</v>
      </c>
    </row>
    <row r="85" spans="1:3">
      <c r="A85" s="41" t="s">
        <v>694</v>
      </c>
      <c r="B85" s="42">
        <v>68326</v>
      </c>
      <c r="C85" s="42">
        <v>84</v>
      </c>
    </row>
    <row r="86" spans="1:3">
      <c r="A86" s="41" t="s">
        <v>86</v>
      </c>
      <c r="B86" s="42">
        <v>68027</v>
      </c>
      <c r="C86" s="42">
        <v>85</v>
      </c>
    </row>
    <row r="87" spans="1:3">
      <c r="A87" s="41" t="s">
        <v>695</v>
      </c>
      <c r="B87" s="42">
        <v>67810</v>
      </c>
      <c r="C87" s="42">
        <v>86</v>
      </c>
    </row>
    <row r="88" spans="1:3">
      <c r="A88" s="41" t="s">
        <v>106</v>
      </c>
      <c r="B88" s="42">
        <v>67451</v>
      </c>
      <c r="C88" s="42">
        <v>87</v>
      </c>
    </row>
    <row r="89" spans="1:3">
      <c r="A89" s="41" t="s">
        <v>696</v>
      </c>
      <c r="B89" s="42">
        <v>67405</v>
      </c>
      <c r="C89" s="42">
        <v>88</v>
      </c>
    </row>
    <row r="90" spans="1:3">
      <c r="A90" s="41" t="s">
        <v>697</v>
      </c>
      <c r="B90" s="42">
        <v>67173</v>
      </c>
      <c r="C90" s="42">
        <v>89</v>
      </c>
    </row>
    <row r="91" spans="1:3">
      <c r="A91" s="41" t="s">
        <v>698</v>
      </c>
      <c r="B91" s="42">
        <v>66887</v>
      </c>
      <c r="C91" s="42">
        <v>90</v>
      </c>
    </row>
    <row r="92" spans="1:3">
      <c r="A92" s="41" t="s">
        <v>699</v>
      </c>
      <c r="B92" s="42">
        <v>66876</v>
      </c>
      <c r="C92" s="42">
        <v>91</v>
      </c>
    </row>
    <row r="93" spans="1:3">
      <c r="A93" s="41" t="s">
        <v>157</v>
      </c>
      <c r="B93" s="42">
        <v>66588</v>
      </c>
      <c r="C93" s="42">
        <v>92</v>
      </c>
    </row>
    <row r="94" spans="1:3">
      <c r="A94" s="41" t="s">
        <v>700</v>
      </c>
      <c r="B94" s="42">
        <v>66502</v>
      </c>
      <c r="C94" s="42">
        <v>93</v>
      </c>
    </row>
    <row r="95" spans="1:3">
      <c r="A95" s="41" t="s">
        <v>701</v>
      </c>
      <c r="B95" s="42">
        <v>66493</v>
      </c>
      <c r="C95" s="42">
        <v>94</v>
      </c>
    </row>
    <row r="96" spans="1:3">
      <c r="A96" s="41" t="s">
        <v>702</v>
      </c>
      <c r="B96" s="42">
        <v>66373</v>
      </c>
      <c r="C96" s="42">
        <v>95</v>
      </c>
    </row>
    <row r="97" spans="1:3">
      <c r="A97" s="41" t="s">
        <v>176</v>
      </c>
      <c r="B97" s="42">
        <v>66365</v>
      </c>
      <c r="C97" s="42">
        <v>96</v>
      </c>
    </row>
    <row r="98" spans="1:3">
      <c r="A98" s="41" t="s">
        <v>703</v>
      </c>
      <c r="B98" s="42">
        <v>66314</v>
      </c>
      <c r="C98" s="42">
        <v>97</v>
      </c>
    </row>
    <row r="99" spans="1:3">
      <c r="A99" s="41" t="s">
        <v>118</v>
      </c>
      <c r="B99" s="42">
        <v>66098</v>
      </c>
      <c r="C99" s="42">
        <v>98</v>
      </c>
    </row>
    <row r="100" spans="1:3">
      <c r="A100" s="41" t="s">
        <v>704</v>
      </c>
      <c r="B100" s="42">
        <v>65892</v>
      </c>
      <c r="C100" s="42">
        <v>99</v>
      </c>
    </row>
    <row r="101" spans="1:3">
      <c r="A101" s="41" t="s">
        <v>705</v>
      </c>
      <c r="B101" s="42">
        <v>65878</v>
      </c>
      <c r="C101" s="42">
        <v>100</v>
      </c>
    </row>
    <row r="102" spans="1:3">
      <c r="A102" s="41" t="s">
        <v>706</v>
      </c>
      <c r="B102" s="42">
        <v>65775</v>
      </c>
      <c r="C102" s="42">
        <v>101</v>
      </c>
    </row>
    <row r="103" spans="1:3">
      <c r="A103" s="41" t="s">
        <v>707</v>
      </c>
      <c r="B103" s="42">
        <v>65650</v>
      </c>
      <c r="C103" s="42">
        <v>102</v>
      </c>
    </row>
    <row r="104" spans="1:3">
      <c r="A104" s="41" t="s">
        <v>708</v>
      </c>
      <c r="B104" s="42">
        <v>65564</v>
      </c>
      <c r="C104" s="42">
        <v>103</v>
      </c>
    </row>
    <row r="105" spans="1:3">
      <c r="A105" s="41" t="s">
        <v>709</v>
      </c>
      <c r="B105" s="42">
        <v>65563</v>
      </c>
      <c r="C105" s="42">
        <v>104</v>
      </c>
    </row>
    <row r="106" spans="1:3">
      <c r="A106" s="41" t="s">
        <v>39</v>
      </c>
      <c r="B106" s="42">
        <v>65324</v>
      </c>
      <c r="C106" s="42">
        <v>105</v>
      </c>
    </row>
    <row r="107" spans="1:3">
      <c r="A107" s="41" t="s">
        <v>36</v>
      </c>
      <c r="B107" s="42">
        <v>65277</v>
      </c>
      <c r="C107" s="42">
        <v>106</v>
      </c>
    </row>
    <row r="108" spans="1:3">
      <c r="A108" s="41" t="s">
        <v>710</v>
      </c>
      <c r="B108" s="42">
        <v>65239</v>
      </c>
      <c r="C108" s="42">
        <v>107</v>
      </c>
    </row>
    <row r="109" spans="1:3">
      <c r="A109" s="41" t="s">
        <v>49</v>
      </c>
      <c r="B109" s="42">
        <v>65205</v>
      </c>
      <c r="C109" s="42">
        <v>108</v>
      </c>
    </row>
    <row r="110" spans="1:3">
      <c r="A110" s="41" t="s">
        <v>711</v>
      </c>
      <c r="B110" s="42">
        <v>65153</v>
      </c>
      <c r="C110" s="42">
        <v>109</v>
      </c>
    </row>
    <row r="111" spans="1:3">
      <c r="A111" s="41" t="s">
        <v>712</v>
      </c>
      <c r="B111" s="42">
        <v>65150</v>
      </c>
      <c r="C111" s="42">
        <v>110</v>
      </c>
    </row>
    <row r="112" spans="1:3">
      <c r="A112" s="41" t="s">
        <v>713</v>
      </c>
      <c r="B112" s="42">
        <v>65115</v>
      </c>
      <c r="C112" s="42">
        <v>111</v>
      </c>
    </row>
    <row r="113" spans="1:3">
      <c r="A113" s="41" t="s">
        <v>714</v>
      </c>
      <c r="B113" s="42">
        <v>64514</v>
      </c>
      <c r="C113" s="42">
        <v>112</v>
      </c>
    </row>
    <row r="114" spans="1:3">
      <c r="A114" s="41" t="s">
        <v>164</v>
      </c>
      <c r="B114" s="42">
        <v>64468</v>
      </c>
      <c r="C114" s="42">
        <v>113</v>
      </c>
    </row>
    <row r="115" spans="1:3">
      <c r="A115" s="41" t="s">
        <v>715</v>
      </c>
      <c r="B115" s="42">
        <v>64303</v>
      </c>
      <c r="C115" s="42">
        <v>114</v>
      </c>
    </row>
    <row r="116" spans="1:3">
      <c r="A116" s="41" t="s">
        <v>716</v>
      </c>
      <c r="B116" s="42">
        <v>64216</v>
      </c>
      <c r="C116" s="42">
        <v>115</v>
      </c>
    </row>
    <row r="117" spans="1:3">
      <c r="A117" s="41" t="s">
        <v>717</v>
      </c>
      <c r="B117" s="42">
        <v>64106</v>
      </c>
      <c r="C117" s="42">
        <v>116</v>
      </c>
    </row>
    <row r="118" spans="1:3">
      <c r="A118" s="41" t="s">
        <v>718</v>
      </c>
      <c r="B118" s="42">
        <v>64089</v>
      </c>
      <c r="C118" s="42">
        <v>117</v>
      </c>
    </row>
    <row r="119" spans="1:3">
      <c r="A119" s="41" t="s">
        <v>719</v>
      </c>
      <c r="B119" s="42">
        <v>64066</v>
      </c>
      <c r="C119" s="42">
        <v>118</v>
      </c>
    </row>
    <row r="120" spans="1:3">
      <c r="A120" s="41" t="s">
        <v>720</v>
      </c>
      <c r="B120" s="42">
        <v>63893</v>
      </c>
      <c r="C120" s="42">
        <v>119</v>
      </c>
    </row>
    <row r="121" spans="1:3">
      <c r="A121" s="41" t="s">
        <v>721</v>
      </c>
      <c r="B121" s="42">
        <v>63878</v>
      </c>
      <c r="C121" s="42">
        <v>120</v>
      </c>
    </row>
    <row r="122" spans="1:3">
      <c r="A122" s="41" t="s">
        <v>70</v>
      </c>
      <c r="B122" s="42">
        <v>63789</v>
      </c>
      <c r="C122" s="42">
        <v>121</v>
      </c>
    </row>
    <row r="123" spans="1:3">
      <c r="A123" s="41" t="s">
        <v>46</v>
      </c>
      <c r="B123" s="42">
        <v>63767</v>
      </c>
      <c r="C123" s="42">
        <v>122</v>
      </c>
    </row>
    <row r="124" spans="1:3">
      <c r="A124" s="41" t="s">
        <v>722</v>
      </c>
      <c r="B124" s="42">
        <v>63689</v>
      </c>
      <c r="C124" s="42">
        <v>123</v>
      </c>
    </row>
    <row r="125" spans="1:3">
      <c r="A125" s="41" t="s">
        <v>723</v>
      </c>
      <c r="B125" s="42">
        <v>63668</v>
      </c>
      <c r="C125" s="42">
        <v>124</v>
      </c>
    </row>
    <row r="126" spans="1:3">
      <c r="A126" s="41" t="s">
        <v>724</v>
      </c>
      <c r="B126" s="42">
        <v>63575</v>
      </c>
      <c r="C126" s="42">
        <v>125</v>
      </c>
    </row>
    <row r="127" spans="1:3">
      <c r="A127" s="41" t="s">
        <v>725</v>
      </c>
      <c r="B127" s="42">
        <v>63498</v>
      </c>
      <c r="C127" s="42">
        <v>126</v>
      </c>
    </row>
    <row r="128" spans="1:3">
      <c r="A128" s="41" t="s">
        <v>726</v>
      </c>
      <c r="B128" s="42">
        <v>63448</v>
      </c>
      <c r="C128" s="42">
        <v>127</v>
      </c>
    </row>
    <row r="129" spans="1:3">
      <c r="A129" s="41" t="s">
        <v>727</v>
      </c>
      <c r="B129" s="42">
        <v>63435</v>
      </c>
      <c r="C129" s="42">
        <v>128</v>
      </c>
    </row>
    <row r="130" spans="1:3">
      <c r="A130" s="41" t="s">
        <v>728</v>
      </c>
      <c r="B130" s="42">
        <v>63021</v>
      </c>
      <c r="C130" s="42">
        <v>129</v>
      </c>
    </row>
    <row r="131" spans="1:3">
      <c r="A131" s="41" t="s">
        <v>729</v>
      </c>
      <c r="B131" s="42">
        <v>62904</v>
      </c>
      <c r="C131" s="42">
        <v>130</v>
      </c>
    </row>
    <row r="132" spans="1:3">
      <c r="A132" s="41" t="s">
        <v>730</v>
      </c>
      <c r="B132" s="42">
        <v>62816</v>
      </c>
      <c r="C132" s="42">
        <v>131</v>
      </c>
    </row>
    <row r="133" spans="1:3">
      <c r="A133" s="17" t="s">
        <v>73</v>
      </c>
      <c r="B133" s="42">
        <v>62575</v>
      </c>
      <c r="C133" s="42">
        <v>132</v>
      </c>
    </row>
    <row r="134" spans="1:3">
      <c r="A134" s="41" t="s">
        <v>731</v>
      </c>
      <c r="B134" s="42">
        <v>62570</v>
      </c>
      <c r="C134" s="42">
        <v>133</v>
      </c>
    </row>
    <row r="135" spans="1:3">
      <c r="A135" s="41" t="s">
        <v>732</v>
      </c>
      <c r="B135" s="42">
        <v>62541</v>
      </c>
      <c r="C135" s="42">
        <v>134</v>
      </c>
    </row>
    <row r="136" spans="1:3">
      <c r="A136" s="41" t="s">
        <v>733</v>
      </c>
      <c r="B136" s="42">
        <v>62532</v>
      </c>
      <c r="C136" s="42">
        <v>135</v>
      </c>
    </row>
    <row r="137" spans="1:3">
      <c r="A137" s="41" t="s">
        <v>734</v>
      </c>
      <c r="B137" s="42">
        <v>62497</v>
      </c>
      <c r="C137" s="42">
        <v>136</v>
      </c>
    </row>
    <row r="138" spans="1:3">
      <c r="A138" s="41" t="s">
        <v>735</v>
      </c>
      <c r="B138" s="42">
        <v>62458</v>
      </c>
      <c r="C138" s="42">
        <v>137</v>
      </c>
    </row>
    <row r="139" spans="1:3">
      <c r="A139" s="41" t="s">
        <v>736</v>
      </c>
      <c r="B139" s="42">
        <v>62364</v>
      </c>
      <c r="C139" s="42">
        <v>138</v>
      </c>
    </row>
    <row r="140" spans="1:3">
      <c r="A140" s="41" t="s">
        <v>737</v>
      </c>
      <c r="B140" s="42">
        <v>62278</v>
      </c>
      <c r="C140" s="42">
        <v>139</v>
      </c>
    </row>
    <row r="141" spans="1:3">
      <c r="A141" s="41" t="s">
        <v>738</v>
      </c>
      <c r="B141" s="42">
        <v>62167</v>
      </c>
      <c r="C141" s="42">
        <v>140</v>
      </c>
    </row>
    <row r="142" spans="1:3">
      <c r="A142" s="41" t="s">
        <v>739</v>
      </c>
      <c r="B142" s="42">
        <v>62115</v>
      </c>
      <c r="C142" s="42">
        <v>141</v>
      </c>
    </row>
    <row r="143" spans="1:3">
      <c r="A143" s="41" t="s">
        <v>740</v>
      </c>
      <c r="B143" s="42">
        <v>62095</v>
      </c>
      <c r="C143" s="42">
        <v>142</v>
      </c>
    </row>
    <row r="144" spans="1:3">
      <c r="A144" s="41" t="s">
        <v>741</v>
      </c>
      <c r="B144" s="42">
        <v>62081</v>
      </c>
      <c r="C144" s="42">
        <v>143</v>
      </c>
    </row>
    <row r="145" spans="1:3">
      <c r="A145" s="41" t="s">
        <v>742</v>
      </c>
      <c r="B145" s="42">
        <v>62050</v>
      </c>
      <c r="C145" s="42">
        <v>144</v>
      </c>
    </row>
    <row r="146" spans="1:3">
      <c r="A146" s="41" t="s">
        <v>743</v>
      </c>
      <c r="B146" s="42">
        <v>62002</v>
      </c>
      <c r="C146" s="42">
        <v>145</v>
      </c>
    </row>
    <row r="147" spans="1:3">
      <c r="A147" s="41" t="s">
        <v>744</v>
      </c>
      <c r="B147" s="42">
        <v>61972</v>
      </c>
      <c r="C147" s="42">
        <v>146</v>
      </c>
    </row>
    <row r="148" spans="1:3">
      <c r="A148" s="41" t="s">
        <v>745</v>
      </c>
      <c r="B148" s="42">
        <v>61762</v>
      </c>
      <c r="C148" s="42">
        <v>147</v>
      </c>
    </row>
    <row r="149" spans="1:3">
      <c r="A149" s="41" t="s">
        <v>746</v>
      </c>
      <c r="B149" s="42">
        <v>61634</v>
      </c>
      <c r="C149" s="42">
        <v>148</v>
      </c>
    </row>
    <row r="150" spans="1:3">
      <c r="A150" s="41" t="s">
        <v>747</v>
      </c>
      <c r="B150" s="42">
        <v>61633</v>
      </c>
      <c r="C150" s="42">
        <v>149</v>
      </c>
    </row>
    <row r="151" spans="1:3">
      <c r="A151" s="41" t="s">
        <v>748</v>
      </c>
      <c r="B151" s="42">
        <v>61617</v>
      </c>
      <c r="C151" s="42">
        <v>150</v>
      </c>
    </row>
    <row r="152" spans="1:3">
      <c r="A152" s="41" t="s">
        <v>749</v>
      </c>
      <c r="B152" s="42">
        <v>61605</v>
      </c>
      <c r="C152" s="42">
        <v>151</v>
      </c>
    </row>
    <row r="153" spans="1:3">
      <c r="A153" s="41" t="s">
        <v>750</v>
      </c>
      <c r="B153" s="42">
        <v>61575</v>
      </c>
      <c r="C153" s="42">
        <v>152</v>
      </c>
    </row>
    <row r="154" spans="1:3">
      <c r="A154" s="41" t="s">
        <v>751</v>
      </c>
      <c r="B154" s="42">
        <v>61174</v>
      </c>
      <c r="C154" s="42">
        <v>153</v>
      </c>
    </row>
    <row r="155" spans="1:3">
      <c r="A155" s="41" t="s">
        <v>752</v>
      </c>
      <c r="B155" s="42">
        <v>61150</v>
      </c>
      <c r="C155" s="42">
        <v>154</v>
      </c>
    </row>
    <row r="156" spans="1:3">
      <c r="A156" s="41" t="s">
        <v>753</v>
      </c>
      <c r="B156" s="42">
        <v>61127</v>
      </c>
      <c r="C156" s="42">
        <v>155</v>
      </c>
    </row>
    <row r="157" spans="1:3">
      <c r="A157" s="41" t="s">
        <v>754</v>
      </c>
      <c r="B157" s="42">
        <v>61106</v>
      </c>
      <c r="C157" s="42">
        <v>156</v>
      </c>
    </row>
    <row r="158" spans="1:3">
      <c r="A158" s="41" t="s">
        <v>755</v>
      </c>
      <c r="B158" s="42">
        <v>60980</v>
      </c>
      <c r="C158" s="42">
        <v>157</v>
      </c>
    </row>
    <row r="159" spans="1:3">
      <c r="A159" s="41" t="s">
        <v>756</v>
      </c>
      <c r="B159" s="42">
        <v>60969</v>
      </c>
      <c r="C159" s="42">
        <v>158</v>
      </c>
    </row>
    <row r="160" spans="1:3">
      <c r="A160" s="41" t="s">
        <v>757</v>
      </c>
      <c r="B160" s="42">
        <v>60915</v>
      </c>
      <c r="C160" s="42">
        <v>159</v>
      </c>
    </row>
    <row r="161" spans="1:3">
      <c r="A161" s="41" t="s">
        <v>758</v>
      </c>
      <c r="B161" s="42">
        <v>60736</v>
      </c>
      <c r="C161" s="42">
        <v>160</v>
      </c>
    </row>
    <row r="162" spans="1:3">
      <c r="A162" s="41" t="s">
        <v>759</v>
      </c>
      <c r="B162" s="42">
        <v>60508</v>
      </c>
      <c r="C162" s="42">
        <v>161</v>
      </c>
    </row>
    <row r="163" spans="1:3">
      <c r="A163" s="41" t="s">
        <v>760</v>
      </c>
      <c r="B163" s="42">
        <v>60493</v>
      </c>
      <c r="C163" s="42">
        <v>162</v>
      </c>
    </row>
    <row r="164" spans="1:3">
      <c r="A164" s="41" t="s">
        <v>761</v>
      </c>
      <c r="B164" s="42">
        <v>60446</v>
      </c>
      <c r="C164" s="42">
        <v>163</v>
      </c>
    </row>
    <row r="165" spans="1:3">
      <c r="A165" s="41" t="s">
        <v>762</v>
      </c>
      <c r="B165" s="42">
        <v>60375</v>
      </c>
      <c r="C165" s="42">
        <v>164</v>
      </c>
    </row>
    <row r="166" spans="1:3">
      <c r="A166" s="41" t="s">
        <v>763</v>
      </c>
      <c r="B166" s="42">
        <v>60361</v>
      </c>
      <c r="C166" s="42">
        <v>165</v>
      </c>
    </row>
    <row r="167" spans="1:3">
      <c r="A167" s="41" t="s">
        <v>764</v>
      </c>
      <c r="B167" s="42">
        <v>60307</v>
      </c>
      <c r="C167" s="42">
        <v>166</v>
      </c>
    </row>
    <row r="168" spans="1:3">
      <c r="A168" s="41" t="s">
        <v>765</v>
      </c>
      <c r="B168" s="42">
        <v>60182</v>
      </c>
      <c r="C168" s="42">
        <v>167</v>
      </c>
    </row>
    <row r="169" spans="1:3">
      <c r="A169" s="41" t="s">
        <v>766</v>
      </c>
      <c r="B169" s="42">
        <v>60180</v>
      </c>
      <c r="C169" s="42">
        <v>168</v>
      </c>
    </row>
    <row r="170" spans="1:3">
      <c r="A170" s="41" t="s">
        <v>767</v>
      </c>
      <c r="B170" s="42">
        <v>60162</v>
      </c>
      <c r="C170" s="42">
        <v>169</v>
      </c>
    </row>
    <row r="171" spans="1:3">
      <c r="A171" s="41" t="s">
        <v>768</v>
      </c>
      <c r="B171" s="42">
        <v>60134</v>
      </c>
      <c r="C171" s="42">
        <v>170</v>
      </c>
    </row>
    <row r="172" spans="1:3">
      <c r="A172" s="41" t="s">
        <v>769</v>
      </c>
      <c r="B172" s="42">
        <v>60126</v>
      </c>
      <c r="C172" s="42">
        <v>171</v>
      </c>
    </row>
    <row r="173" spans="1:3">
      <c r="A173" s="41" t="s">
        <v>141</v>
      </c>
      <c r="B173" s="42">
        <v>60083</v>
      </c>
      <c r="C173" s="42">
        <v>172</v>
      </c>
    </row>
    <row r="174" spans="1:3">
      <c r="A174" s="41" t="s">
        <v>770</v>
      </c>
      <c r="B174" s="42">
        <v>60036</v>
      </c>
      <c r="C174" s="42">
        <v>173</v>
      </c>
    </row>
    <row r="175" spans="1:3">
      <c r="A175" s="41" t="s">
        <v>771</v>
      </c>
      <c r="B175" s="42">
        <v>60030</v>
      </c>
      <c r="C175" s="42">
        <v>174</v>
      </c>
    </row>
    <row r="176" spans="1:3">
      <c r="A176" s="41" t="s">
        <v>772</v>
      </c>
      <c r="B176" s="42">
        <v>60018</v>
      </c>
      <c r="C176" s="42">
        <v>175</v>
      </c>
    </row>
    <row r="177" spans="1:3">
      <c r="A177" s="41" t="s">
        <v>773</v>
      </c>
      <c r="B177" s="42">
        <v>59956</v>
      </c>
      <c r="C177" s="42">
        <v>176</v>
      </c>
    </row>
    <row r="178" spans="1:3">
      <c r="A178" s="41" t="s">
        <v>774</v>
      </c>
      <c r="B178" s="42">
        <v>59915</v>
      </c>
      <c r="C178" s="42">
        <v>177</v>
      </c>
    </row>
    <row r="179" spans="1:3">
      <c r="A179" s="41" t="s">
        <v>775</v>
      </c>
      <c r="B179" s="42">
        <v>59820</v>
      </c>
      <c r="C179" s="42">
        <v>178</v>
      </c>
    </row>
    <row r="180" spans="1:3">
      <c r="A180" s="41" t="s">
        <v>776</v>
      </c>
      <c r="B180" s="42">
        <v>59680</v>
      </c>
      <c r="C180" s="42">
        <v>179</v>
      </c>
    </row>
    <row r="181" spans="1:3">
      <c r="A181" s="41" t="s">
        <v>188</v>
      </c>
      <c r="B181" s="42">
        <v>59477</v>
      </c>
      <c r="C181" s="42">
        <v>180</v>
      </c>
    </row>
    <row r="182" spans="1:3">
      <c r="A182" s="41" t="s">
        <v>777</v>
      </c>
      <c r="B182" s="42">
        <v>59463</v>
      </c>
      <c r="C182" s="42">
        <v>181</v>
      </c>
    </row>
    <row r="183" spans="1:3">
      <c r="A183" s="41" t="s">
        <v>778</v>
      </c>
      <c r="B183" s="42">
        <v>59361</v>
      </c>
      <c r="C183" s="42">
        <v>182</v>
      </c>
    </row>
    <row r="184" spans="1:3">
      <c r="A184" s="41" t="s">
        <v>779</v>
      </c>
      <c r="B184" s="42">
        <v>59338</v>
      </c>
      <c r="C184" s="42">
        <v>183</v>
      </c>
    </row>
    <row r="185" spans="1:3">
      <c r="A185" s="41" t="s">
        <v>780</v>
      </c>
      <c r="B185" s="42">
        <v>59170</v>
      </c>
      <c r="C185" s="42">
        <v>184</v>
      </c>
    </row>
    <row r="186" spans="1:3">
      <c r="A186" s="41" t="s">
        <v>781</v>
      </c>
      <c r="B186" s="42">
        <v>59135</v>
      </c>
      <c r="C186" s="42">
        <v>185</v>
      </c>
    </row>
    <row r="187" spans="1:3">
      <c r="A187" s="41" t="s">
        <v>782</v>
      </c>
      <c r="B187" s="42">
        <v>59122</v>
      </c>
      <c r="C187" s="42">
        <v>186</v>
      </c>
    </row>
    <row r="188" spans="1:3">
      <c r="A188" s="41" t="s">
        <v>783</v>
      </c>
      <c r="B188" s="42">
        <v>59040</v>
      </c>
      <c r="C188" s="42">
        <v>187</v>
      </c>
    </row>
    <row r="189" spans="1:3">
      <c r="A189" s="41" t="s">
        <v>784</v>
      </c>
      <c r="B189" s="42">
        <v>58961</v>
      </c>
      <c r="C189" s="42">
        <v>188</v>
      </c>
    </row>
    <row r="190" spans="1:3">
      <c r="A190" s="41" t="s">
        <v>785</v>
      </c>
      <c r="B190" s="42">
        <v>58880</v>
      </c>
      <c r="C190" s="42">
        <v>189</v>
      </c>
    </row>
    <row r="191" spans="1:3">
      <c r="A191" s="41" t="s">
        <v>786</v>
      </c>
      <c r="B191" s="42">
        <v>58851</v>
      </c>
      <c r="C191" s="42">
        <v>190</v>
      </c>
    </row>
    <row r="192" spans="1:3">
      <c r="A192" s="41" t="s">
        <v>787</v>
      </c>
      <c r="B192" s="42">
        <v>58813</v>
      </c>
      <c r="C192" s="42">
        <v>191</v>
      </c>
    </row>
    <row r="193" spans="1:3">
      <c r="A193" s="41" t="s">
        <v>788</v>
      </c>
      <c r="B193" s="42">
        <v>58662</v>
      </c>
      <c r="C193" s="42">
        <v>192</v>
      </c>
    </row>
    <row r="194" spans="1:3">
      <c r="A194" s="41" t="s">
        <v>789</v>
      </c>
      <c r="B194" s="42">
        <v>58380</v>
      </c>
      <c r="C194" s="42">
        <v>193</v>
      </c>
    </row>
    <row r="195" spans="1:3">
      <c r="A195" s="41" t="s">
        <v>790</v>
      </c>
      <c r="B195" s="42">
        <v>58232</v>
      </c>
      <c r="C195" s="42">
        <v>194</v>
      </c>
    </row>
    <row r="196" spans="1:3">
      <c r="A196" s="41" t="s">
        <v>791</v>
      </c>
      <c r="B196" s="42">
        <v>58180</v>
      </c>
      <c r="C196" s="42">
        <v>195</v>
      </c>
    </row>
    <row r="197" spans="1:3">
      <c r="A197" s="41" t="s">
        <v>792</v>
      </c>
      <c r="B197" s="42">
        <v>58164</v>
      </c>
      <c r="C197" s="42">
        <v>196</v>
      </c>
    </row>
    <row r="198" spans="1:3">
      <c r="A198" s="41" t="s">
        <v>793</v>
      </c>
      <c r="B198" s="42">
        <v>58104</v>
      </c>
      <c r="C198" s="42">
        <v>197</v>
      </c>
    </row>
    <row r="199" spans="1:3">
      <c r="A199" s="41" t="s">
        <v>794</v>
      </c>
      <c r="B199" s="42">
        <v>58046</v>
      </c>
      <c r="C199" s="42">
        <v>198</v>
      </c>
    </row>
    <row r="200" spans="1:3">
      <c r="A200" s="41" t="s">
        <v>795</v>
      </c>
      <c r="B200" s="42">
        <v>57976</v>
      </c>
      <c r="C200" s="42">
        <v>199</v>
      </c>
    </row>
    <row r="201" spans="1:3">
      <c r="A201" s="41" t="s">
        <v>796</v>
      </c>
      <c r="B201" s="42">
        <v>57947</v>
      </c>
      <c r="C201" s="42">
        <v>200</v>
      </c>
    </row>
    <row r="202" spans="1:3">
      <c r="A202" s="41" t="s">
        <v>797</v>
      </c>
      <c r="B202" s="42">
        <v>57906</v>
      </c>
      <c r="C202" s="42">
        <v>201</v>
      </c>
    </row>
    <row r="203" spans="1:3">
      <c r="A203" s="41" t="s">
        <v>798</v>
      </c>
      <c r="B203" s="42">
        <v>57886</v>
      </c>
      <c r="C203" s="42">
        <v>202</v>
      </c>
    </row>
    <row r="204" spans="1:3">
      <c r="A204" s="41" t="s">
        <v>799</v>
      </c>
      <c r="B204" s="42">
        <v>57810</v>
      </c>
      <c r="C204" s="42">
        <v>203</v>
      </c>
    </row>
    <row r="205" spans="1:3">
      <c r="A205" s="41" t="s">
        <v>800</v>
      </c>
      <c r="B205" s="42">
        <v>57800</v>
      </c>
      <c r="C205" s="42">
        <v>204</v>
      </c>
    </row>
    <row r="206" spans="1:3">
      <c r="A206" s="41" t="s">
        <v>801</v>
      </c>
      <c r="B206" s="42">
        <v>57782</v>
      </c>
      <c r="C206" s="42">
        <v>205</v>
      </c>
    </row>
    <row r="207" spans="1:3">
      <c r="A207" s="41" t="s">
        <v>168</v>
      </c>
      <c r="B207" s="42">
        <v>57774</v>
      </c>
      <c r="C207" s="42">
        <v>206</v>
      </c>
    </row>
    <row r="208" spans="1:3">
      <c r="A208" s="41" t="s">
        <v>802</v>
      </c>
      <c r="B208" s="42">
        <v>57774</v>
      </c>
      <c r="C208" s="42">
        <v>206</v>
      </c>
    </row>
    <row r="209" spans="1:3">
      <c r="A209" s="41" t="s">
        <v>803</v>
      </c>
      <c r="B209" s="42">
        <v>57653</v>
      </c>
      <c r="C209" s="42">
        <v>208</v>
      </c>
    </row>
    <row r="210" spans="1:3">
      <c r="A210" s="41" t="s">
        <v>804</v>
      </c>
      <c r="B210" s="42">
        <v>57637</v>
      </c>
      <c r="C210" s="42">
        <v>209</v>
      </c>
    </row>
    <row r="211" spans="1:3">
      <c r="A211" s="41" t="s">
        <v>805</v>
      </c>
      <c r="B211" s="42">
        <v>57595</v>
      </c>
      <c r="C211" s="42">
        <v>210</v>
      </c>
    </row>
    <row r="212" spans="1:3">
      <c r="A212" s="41" t="s">
        <v>192</v>
      </c>
      <c r="B212" s="42">
        <v>57549</v>
      </c>
      <c r="C212" s="42">
        <v>210.82142857142901</v>
      </c>
    </row>
    <row r="213" spans="1:3">
      <c r="A213" s="41" t="s">
        <v>806</v>
      </c>
      <c r="B213" s="42">
        <v>57531</v>
      </c>
      <c r="C213" s="42">
        <v>211.80952380952399</v>
      </c>
    </row>
    <row r="214" spans="1:3">
      <c r="A214" s="41" t="s">
        <v>807</v>
      </c>
      <c r="B214" s="42">
        <v>57483</v>
      </c>
      <c r="C214" s="42">
        <v>212.79761904761901</v>
      </c>
    </row>
    <row r="215" spans="1:3">
      <c r="A215" s="41" t="s">
        <v>808</v>
      </c>
      <c r="B215" s="42">
        <v>57334</v>
      </c>
      <c r="C215" s="42">
        <v>213.78571428571399</v>
      </c>
    </row>
    <row r="216" spans="1:3">
      <c r="A216" s="41" t="s">
        <v>809</v>
      </c>
      <c r="B216" s="42">
        <v>57316</v>
      </c>
      <c r="C216" s="42">
        <v>214.77380952381</v>
      </c>
    </row>
    <row r="217" spans="1:3">
      <c r="A217" s="41" t="s">
        <v>810</v>
      </c>
      <c r="B217" s="42">
        <v>57280</v>
      </c>
      <c r="C217" s="42">
        <v>215.76190476190499</v>
      </c>
    </row>
    <row r="218" spans="1:3">
      <c r="A218" s="41" t="s">
        <v>22</v>
      </c>
      <c r="B218" s="42">
        <v>57278</v>
      </c>
      <c r="C218" s="42">
        <v>216.75</v>
      </c>
    </row>
    <row r="219" spans="1:3">
      <c r="A219" s="41" t="s">
        <v>811</v>
      </c>
      <c r="B219" s="42">
        <v>57114</v>
      </c>
      <c r="C219" s="42">
        <v>217.73809523809501</v>
      </c>
    </row>
    <row r="220" spans="1:3">
      <c r="A220" s="41" t="s">
        <v>812</v>
      </c>
      <c r="B220" s="42">
        <v>57101</v>
      </c>
      <c r="C220" s="42">
        <v>218.72619047619</v>
      </c>
    </row>
    <row r="221" spans="1:3">
      <c r="A221" s="41" t="s">
        <v>813</v>
      </c>
      <c r="B221" s="42">
        <v>57016</v>
      </c>
      <c r="C221" s="42">
        <v>219.71428571428601</v>
      </c>
    </row>
    <row r="222" spans="1:3">
      <c r="A222" s="41" t="s">
        <v>814</v>
      </c>
      <c r="B222" s="42">
        <v>57010</v>
      </c>
      <c r="C222" s="42">
        <v>220.70238095238099</v>
      </c>
    </row>
    <row r="223" spans="1:3">
      <c r="A223" s="41" t="s">
        <v>815</v>
      </c>
      <c r="B223" s="42">
        <v>56956</v>
      </c>
      <c r="C223" s="42">
        <v>221.69047619047601</v>
      </c>
    </row>
    <row r="224" spans="1:3">
      <c r="A224" s="41" t="s">
        <v>816</v>
      </c>
      <c r="B224" s="42">
        <v>56938</v>
      </c>
      <c r="C224" s="42">
        <v>222.67857142857099</v>
      </c>
    </row>
    <row r="225" spans="1:3">
      <c r="A225" s="41" t="s">
        <v>817</v>
      </c>
      <c r="B225" s="42">
        <v>56862</v>
      </c>
      <c r="C225" s="42">
        <v>223.666666666667</v>
      </c>
    </row>
    <row r="226" spans="1:3">
      <c r="A226" s="41" t="s">
        <v>818</v>
      </c>
      <c r="B226" s="42">
        <v>56847</v>
      </c>
      <c r="C226" s="42">
        <v>224.65476190476201</v>
      </c>
    </row>
    <row r="227" spans="1:3">
      <c r="A227" s="41" t="s">
        <v>819</v>
      </c>
      <c r="B227" s="42">
        <v>56846</v>
      </c>
      <c r="C227" s="42">
        <v>225.642857142857</v>
      </c>
    </row>
    <row r="228" spans="1:3">
      <c r="A228" s="41" t="s">
        <v>820</v>
      </c>
      <c r="B228" s="42">
        <v>56825</v>
      </c>
      <c r="C228" s="42">
        <v>226.63095238095201</v>
      </c>
    </row>
    <row r="229" spans="1:3">
      <c r="A229" s="41" t="s">
        <v>821</v>
      </c>
      <c r="B229" s="42">
        <v>56797</v>
      </c>
      <c r="C229" s="42">
        <v>227.61904761904799</v>
      </c>
    </row>
    <row r="230" spans="1:3">
      <c r="A230" s="41" t="s">
        <v>822</v>
      </c>
      <c r="B230" s="42">
        <v>56651</v>
      </c>
      <c r="C230" s="42">
        <v>228.607142857143</v>
      </c>
    </row>
    <row r="231" spans="1:3">
      <c r="A231" s="41" t="s">
        <v>823</v>
      </c>
      <c r="B231" s="42">
        <v>56549</v>
      </c>
      <c r="C231" s="42">
        <v>229.59523809523799</v>
      </c>
    </row>
    <row r="232" spans="1:3">
      <c r="A232" s="41" t="s">
        <v>824</v>
      </c>
      <c r="B232" s="42">
        <v>56534</v>
      </c>
      <c r="C232" s="42">
        <v>230.583333333333</v>
      </c>
    </row>
    <row r="233" spans="1:3">
      <c r="A233" s="41" t="s">
        <v>825</v>
      </c>
      <c r="B233" s="42">
        <v>56458</v>
      </c>
      <c r="C233" s="42">
        <v>231.57142857142901</v>
      </c>
    </row>
    <row r="234" spans="1:3">
      <c r="A234" s="41" t="s">
        <v>826</v>
      </c>
      <c r="B234" s="42">
        <v>56420</v>
      </c>
      <c r="C234" s="42">
        <v>232.55952380952399</v>
      </c>
    </row>
    <row r="235" spans="1:3">
      <c r="A235" s="41" t="s">
        <v>827</v>
      </c>
      <c r="B235" s="42">
        <v>56319</v>
      </c>
      <c r="C235" s="42">
        <v>233.54761904761901</v>
      </c>
    </row>
    <row r="236" spans="1:3">
      <c r="A236" s="41" t="s">
        <v>828</v>
      </c>
      <c r="B236" s="42">
        <v>56264</v>
      </c>
      <c r="C236" s="42">
        <v>234.53571428571399</v>
      </c>
    </row>
    <row r="237" spans="1:3">
      <c r="A237" s="41" t="s">
        <v>829</v>
      </c>
      <c r="B237" s="42">
        <v>56195</v>
      </c>
      <c r="C237" s="42">
        <v>235.52380952381</v>
      </c>
    </row>
    <row r="238" spans="1:3">
      <c r="A238" s="41" t="s">
        <v>830</v>
      </c>
      <c r="B238" s="42">
        <v>56148</v>
      </c>
      <c r="C238" s="42">
        <v>236.51190476190499</v>
      </c>
    </row>
    <row r="239" spans="1:3">
      <c r="A239" s="41" t="s">
        <v>831</v>
      </c>
      <c r="B239" s="42">
        <v>56140</v>
      </c>
      <c r="C239" s="42">
        <v>237.5</v>
      </c>
    </row>
    <row r="240" spans="1:3">
      <c r="A240" s="41" t="s">
        <v>832</v>
      </c>
      <c r="B240" s="42">
        <v>56070</v>
      </c>
      <c r="C240" s="42">
        <v>238.48809523809501</v>
      </c>
    </row>
    <row r="241" spans="1:3">
      <c r="A241" s="41" t="s">
        <v>833</v>
      </c>
      <c r="B241" s="42">
        <v>56034</v>
      </c>
      <c r="C241" s="42">
        <v>239.47619047619</v>
      </c>
    </row>
    <row r="242" spans="1:3">
      <c r="A242" s="41" t="s">
        <v>834</v>
      </c>
      <c r="B242" s="42">
        <v>56030</v>
      </c>
      <c r="C242" s="42">
        <v>240.46428571428601</v>
      </c>
    </row>
    <row r="243" spans="1:3">
      <c r="A243" s="41" t="s">
        <v>835</v>
      </c>
      <c r="B243" s="42">
        <v>55946</v>
      </c>
      <c r="C243" s="42">
        <v>241.45238095238099</v>
      </c>
    </row>
    <row r="244" spans="1:3">
      <c r="A244" s="41" t="s">
        <v>836</v>
      </c>
      <c r="B244" s="42">
        <v>55929</v>
      </c>
      <c r="C244" s="42">
        <v>242.44047619047601</v>
      </c>
    </row>
    <row r="245" spans="1:3">
      <c r="A245" s="41" t="s">
        <v>837</v>
      </c>
      <c r="B245" s="42">
        <v>55913</v>
      </c>
      <c r="C245" s="42">
        <v>243.42857142857099</v>
      </c>
    </row>
    <row r="246" spans="1:3">
      <c r="A246" s="41" t="s">
        <v>838</v>
      </c>
      <c r="B246" s="42">
        <v>55770</v>
      </c>
      <c r="C246" s="42">
        <v>244.416666666667</v>
      </c>
    </row>
    <row r="247" spans="1:3">
      <c r="A247" s="41" t="s">
        <v>839</v>
      </c>
      <c r="B247" s="42">
        <v>55747</v>
      </c>
      <c r="C247" s="42">
        <v>245.40476190476201</v>
      </c>
    </row>
    <row r="248" spans="1:3">
      <c r="A248" s="41" t="s">
        <v>840</v>
      </c>
      <c r="B248" s="42">
        <v>55657</v>
      </c>
      <c r="C248" s="42">
        <v>246.392857142857</v>
      </c>
    </row>
    <row r="249" spans="1:3">
      <c r="A249" s="41" t="s">
        <v>841</v>
      </c>
      <c r="B249" s="42">
        <v>55363</v>
      </c>
      <c r="C249" s="42">
        <v>247.38095238095201</v>
      </c>
    </row>
    <row r="250" spans="1:3">
      <c r="A250" s="41" t="s">
        <v>842</v>
      </c>
      <c r="B250" s="42">
        <v>55332</v>
      </c>
      <c r="C250" s="42">
        <v>248.36904761904799</v>
      </c>
    </row>
    <row r="251" spans="1:3">
      <c r="A251" s="41" t="s">
        <v>843</v>
      </c>
      <c r="B251" s="42">
        <v>55237</v>
      </c>
      <c r="C251" s="42">
        <v>249.357142857143</v>
      </c>
    </row>
    <row r="252" spans="1:3">
      <c r="A252" s="41" t="s">
        <v>844</v>
      </c>
      <c r="B252" s="42">
        <v>55041</v>
      </c>
      <c r="C252" s="42">
        <v>250.34523809523799</v>
      </c>
    </row>
    <row r="253" spans="1:3">
      <c r="A253" s="41" t="s">
        <v>845</v>
      </c>
      <c r="B253" s="42">
        <v>55038</v>
      </c>
      <c r="C253" s="42">
        <v>251.333333333333</v>
      </c>
    </row>
    <row r="254" spans="1:3">
      <c r="A254" s="41" t="s">
        <v>846</v>
      </c>
      <c r="B254" s="42">
        <v>55012</v>
      </c>
      <c r="C254" s="42">
        <v>252.32142857142901</v>
      </c>
    </row>
    <row r="255" spans="1:3">
      <c r="A255" s="41" t="s">
        <v>847</v>
      </c>
      <c r="B255" s="42">
        <v>54926</v>
      </c>
      <c r="C255" s="42">
        <v>253.30952380952399</v>
      </c>
    </row>
    <row r="256" spans="1:3">
      <c r="A256" s="41" t="s">
        <v>848</v>
      </c>
      <c r="B256" s="42">
        <v>54826</v>
      </c>
      <c r="C256" s="42">
        <v>254.29761904761901</v>
      </c>
    </row>
    <row r="257" spans="1:3">
      <c r="A257" s="41" t="s">
        <v>849</v>
      </c>
      <c r="B257" s="42">
        <v>54716</v>
      </c>
      <c r="C257" s="42">
        <v>255.28571428571399</v>
      </c>
    </row>
    <row r="258" spans="1:3">
      <c r="A258" s="41" t="s">
        <v>850</v>
      </c>
      <c r="B258" s="42">
        <v>54694</v>
      </c>
      <c r="C258" s="42">
        <v>256.27380952380997</v>
      </c>
    </row>
    <row r="259" spans="1:3">
      <c r="A259" s="41" t="s">
        <v>851</v>
      </c>
      <c r="B259" s="42">
        <v>54524</v>
      </c>
      <c r="C259" s="42">
        <v>257.26190476190499</v>
      </c>
    </row>
    <row r="260" spans="1:3">
      <c r="A260" s="41" t="s">
        <v>852</v>
      </c>
      <c r="B260" s="42">
        <v>54405</v>
      </c>
      <c r="C260" s="42">
        <v>258.25</v>
      </c>
    </row>
    <row r="261" spans="1:3">
      <c r="A261" s="41" t="s">
        <v>853</v>
      </c>
      <c r="B261" s="42">
        <v>54391</v>
      </c>
      <c r="C261" s="42">
        <v>259.23809523809501</v>
      </c>
    </row>
    <row r="262" spans="1:3">
      <c r="A262" s="41" t="s">
        <v>854</v>
      </c>
      <c r="B262" s="42">
        <v>54249</v>
      </c>
      <c r="C262" s="42">
        <v>260.22619047619003</v>
      </c>
    </row>
    <row r="263" spans="1:3">
      <c r="A263" s="41" t="s">
        <v>855</v>
      </c>
      <c r="B263" s="42">
        <v>54210</v>
      </c>
      <c r="C263" s="42">
        <v>261.21428571428601</v>
      </c>
    </row>
    <row r="264" spans="1:3">
      <c r="A264" s="41" t="s">
        <v>856</v>
      </c>
      <c r="B264" s="42">
        <v>54166</v>
      </c>
      <c r="C264" s="42">
        <v>262.20238095238102</v>
      </c>
    </row>
    <row r="265" spans="1:3">
      <c r="A265" s="41" t="s">
        <v>857</v>
      </c>
      <c r="B265" s="42">
        <v>54159</v>
      </c>
      <c r="C265" s="42">
        <v>263.19047619047598</v>
      </c>
    </row>
    <row r="266" spans="1:3">
      <c r="A266" s="41" t="s">
        <v>858</v>
      </c>
      <c r="B266" s="42">
        <v>54152</v>
      </c>
      <c r="C266" s="42">
        <v>264.17857142857099</v>
      </c>
    </row>
    <row r="267" spans="1:3">
      <c r="A267" s="41" t="s">
        <v>859</v>
      </c>
      <c r="B267" s="42">
        <v>54010</v>
      </c>
      <c r="C267" s="42">
        <v>265.16666666666703</v>
      </c>
    </row>
    <row r="268" spans="1:3">
      <c r="A268" s="41" t="s">
        <v>860</v>
      </c>
      <c r="B268" s="42">
        <v>53978</v>
      </c>
      <c r="C268" s="42">
        <v>266.15476190476198</v>
      </c>
    </row>
    <row r="269" spans="1:3">
      <c r="A269" s="41" t="s">
        <v>861</v>
      </c>
      <c r="B269" s="42">
        <v>53850</v>
      </c>
      <c r="C269" s="42">
        <v>267.142857142857</v>
      </c>
    </row>
    <row r="270" spans="1:3">
      <c r="A270" s="41" t="s">
        <v>862</v>
      </c>
      <c r="B270" s="42">
        <v>53822</v>
      </c>
      <c r="C270" s="42">
        <v>268.13095238095201</v>
      </c>
    </row>
    <row r="271" spans="1:3">
      <c r="A271" s="41" t="s">
        <v>863</v>
      </c>
      <c r="B271" s="42">
        <v>53806</v>
      </c>
      <c r="C271" s="42">
        <v>269.11904761904799</v>
      </c>
    </row>
    <row r="272" spans="1:3">
      <c r="A272" s="41" t="s">
        <v>864</v>
      </c>
      <c r="B272" s="42">
        <v>53765</v>
      </c>
      <c r="C272" s="42">
        <v>270.107142857143</v>
      </c>
    </row>
    <row r="273" spans="1:3">
      <c r="A273" s="41" t="s">
        <v>865</v>
      </c>
      <c r="B273" s="42">
        <v>53731</v>
      </c>
      <c r="C273" s="42">
        <v>271.09523809523802</v>
      </c>
    </row>
    <row r="274" spans="1:3">
      <c r="A274" s="41" t="s">
        <v>866</v>
      </c>
      <c r="B274" s="42">
        <v>53708</v>
      </c>
      <c r="C274" s="42">
        <v>272.08333333333297</v>
      </c>
    </row>
    <row r="275" spans="1:3">
      <c r="A275" s="41" t="s">
        <v>867</v>
      </c>
      <c r="B275" s="42">
        <v>53700</v>
      </c>
      <c r="C275" s="42">
        <v>273.07142857142901</v>
      </c>
    </row>
    <row r="276" spans="1:3">
      <c r="A276" s="41" t="s">
        <v>868</v>
      </c>
      <c r="B276" s="42">
        <v>53698</v>
      </c>
      <c r="C276" s="42">
        <v>274.05952380952402</v>
      </c>
    </row>
    <row r="277" spans="1:3">
      <c r="A277" s="41" t="s">
        <v>869</v>
      </c>
      <c r="B277" s="42">
        <v>53630</v>
      </c>
      <c r="C277" s="42">
        <v>275.04761904761898</v>
      </c>
    </row>
    <row r="278" spans="1:3">
      <c r="A278" s="41" t="s">
        <v>870</v>
      </c>
      <c r="B278" s="42">
        <v>53594</v>
      </c>
      <c r="C278" s="42">
        <v>276.03571428571399</v>
      </c>
    </row>
    <row r="279" spans="1:3">
      <c r="A279" s="41" t="s">
        <v>871</v>
      </c>
      <c r="B279" s="42">
        <v>53528</v>
      </c>
      <c r="C279" s="42">
        <v>277.02380952380997</v>
      </c>
    </row>
    <row r="280" spans="1:3">
      <c r="A280" s="41" t="s">
        <v>872</v>
      </c>
      <c r="B280" s="42">
        <v>53435</v>
      </c>
      <c r="C280" s="42">
        <v>278.01190476190499</v>
      </c>
    </row>
    <row r="281" spans="1:3">
      <c r="A281" s="41" t="s">
        <v>873</v>
      </c>
      <c r="B281" s="42">
        <v>53386</v>
      </c>
      <c r="C281" s="42">
        <v>279</v>
      </c>
    </row>
    <row r="282" spans="1:3">
      <c r="A282" s="41" t="s">
        <v>874</v>
      </c>
      <c r="B282" s="42">
        <v>53326</v>
      </c>
      <c r="C282" s="42">
        <v>279.98809523809501</v>
      </c>
    </row>
    <row r="283" spans="1:3">
      <c r="A283" s="41" t="s">
        <v>875</v>
      </c>
      <c r="B283" s="42">
        <v>53304</v>
      </c>
      <c r="C283" s="42">
        <v>280.97619047619003</v>
      </c>
    </row>
    <row r="284" spans="1:3">
      <c r="A284" s="41" t="s">
        <v>876</v>
      </c>
      <c r="B284" s="42">
        <v>53266</v>
      </c>
      <c r="C284" s="42">
        <v>281.96428571428601</v>
      </c>
    </row>
    <row r="285" spans="1:3">
      <c r="A285" s="41" t="s">
        <v>877</v>
      </c>
      <c r="B285" s="42">
        <v>53221</v>
      </c>
      <c r="C285" s="42">
        <v>282.95238095238102</v>
      </c>
    </row>
    <row r="286" spans="1:3">
      <c r="A286" s="41" t="s">
        <v>878</v>
      </c>
      <c r="B286" s="42">
        <v>53144</v>
      </c>
      <c r="C286" s="42">
        <v>283.94047619047598</v>
      </c>
    </row>
    <row r="287" spans="1:3">
      <c r="A287" s="41" t="s">
        <v>879</v>
      </c>
      <c r="B287" s="42">
        <v>53113</v>
      </c>
      <c r="C287" s="42">
        <v>284.92857142857099</v>
      </c>
    </row>
    <row r="288" spans="1:3">
      <c r="A288" s="41" t="s">
        <v>880</v>
      </c>
      <c r="B288" s="42">
        <v>53058</v>
      </c>
      <c r="C288" s="42">
        <v>285.91666666666703</v>
      </c>
    </row>
    <row r="289" spans="1:3">
      <c r="A289" s="41" t="s">
        <v>881</v>
      </c>
      <c r="B289" s="42">
        <v>52728</v>
      </c>
      <c r="C289" s="42">
        <v>286.90476190476198</v>
      </c>
    </row>
    <row r="290" spans="1:3">
      <c r="A290" s="41" t="s">
        <v>882</v>
      </c>
      <c r="B290" s="42">
        <v>52659</v>
      </c>
      <c r="C290" s="42">
        <v>287.892857142857</v>
      </c>
    </row>
    <row r="291" spans="1:3">
      <c r="A291" s="41" t="s">
        <v>883</v>
      </c>
      <c r="B291" s="42">
        <v>52579</v>
      </c>
      <c r="C291" s="42">
        <v>288.88095238095201</v>
      </c>
    </row>
    <row r="292" spans="1:3">
      <c r="A292" s="41" t="s">
        <v>884</v>
      </c>
      <c r="B292" s="42">
        <v>52553</v>
      </c>
      <c r="C292" s="42">
        <v>289.86904761904799</v>
      </c>
    </row>
    <row r="293" spans="1:3">
      <c r="A293" s="41" t="s">
        <v>885</v>
      </c>
      <c r="B293" s="42">
        <v>52520</v>
      </c>
      <c r="C293" s="42">
        <v>290.857142857143</v>
      </c>
    </row>
    <row r="294" spans="1:3">
      <c r="A294" s="41" t="s">
        <v>886</v>
      </c>
      <c r="B294" s="42">
        <v>52512</v>
      </c>
      <c r="C294" s="42">
        <v>291.84523809523802</v>
      </c>
    </row>
    <row r="295" spans="1:3">
      <c r="A295" s="41" t="s">
        <v>887</v>
      </c>
      <c r="B295" s="42">
        <v>52506</v>
      </c>
      <c r="C295" s="42">
        <v>292.83333333333297</v>
      </c>
    </row>
    <row r="296" spans="1:3">
      <c r="A296" s="41" t="s">
        <v>888</v>
      </c>
      <c r="B296" s="42">
        <v>52494</v>
      </c>
      <c r="C296" s="42">
        <v>293.82142857142901</v>
      </c>
    </row>
    <row r="297" spans="1:3">
      <c r="A297" s="41" t="s">
        <v>889</v>
      </c>
      <c r="B297" s="42">
        <v>52354</v>
      </c>
      <c r="C297" s="42">
        <v>294.80952380952402</v>
      </c>
    </row>
    <row r="298" spans="1:3">
      <c r="A298" s="41" t="s">
        <v>890</v>
      </c>
      <c r="B298" s="42">
        <v>52273</v>
      </c>
      <c r="C298" s="42">
        <v>295.79761904761898</v>
      </c>
    </row>
    <row r="299" spans="1:3">
      <c r="A299" s="41" t="s">
        <v>891</v>
      </c>
      <c r="B299" s="42">
        <v>52213</v>
      </c>
      <c r="C299" s="42">
        <v>296.78571428571399</v>
      </c>
    </row>
    <row r="300" spans="1:3">
      <c r="A300" s="41" t="s">
        <v>892</v>
      </c>
      <c r="B300" s="42">
        <v>52069</v>
      </c>
      <c r="C300" s="42">
        <v>297.77380952380997</v>
      </c>
    </row>
    <row r="301" spans="1:3">
      <c r="A301" s="41" t="s">
        <v>893</v>
      </c>
      <c r="B301" s="42">
        <v>51949</v>
      </c>
      <c r="C301" s="42">
        <v>298.76190476190499</v>
      </c>
    </row>
    <row r="302" spans="1:3">
      <c r="A302" s="41" t="s">
        <v>894</v>
      </c>
      <c r="B302" s="42">
        <v>51869</v>
      </c>
      <c r="C302" s="42">
        <v>299.75</v>
      </c>
    </row>
    <row r="303" spans="1:3">
      <c r="A303" s="41" t="s">
        <v>895</v>
      </c>
      <c r="B303" s="42">
        <v>51612</v>
      </c>
      <c r="C303" s="42">
        <v>300.73809523809501</v>
      </c>
    </row>
    <row r="304" spans="1:3">
      <c r="A304" s="41" t="s">
        <v>896</v>
      </c>
      <c r="B304" s="42">
        <v>51590</v>
      </c>
      <c r="C304" s="42">
        <v>301.72619047619003</v>
      </c>
    </row>
    <row r="305" spans="1:3">
      <c r="A305" s="41" t="s">
        <v>897</v>
      </c>
      <c r="B305" s="42">
        <v>51573</v>
      </c>
      <c r="C305" s="42">
        <v>302.71428571428601</v>
      </c>
    </row>
    <row r="306" spans="1:3">
      <c r="A306" s="41" t="s">
        <v>898</v>
      </c>
      <c r="B306" s="42">
        <v>51510</v>
      </c>
      <c r="C306" s="42">
        <v>303.70238095238102</v>
      </c>
    </row>
    <row r="307" spans="1:3">
      <c r="A307" s="41" t="s">
        <v>899</v>
      </c>
      <c r="B307" s="42">
        <v>51507</v>
      </c>
      <c r="C307" s="42">
        <v>304.690476190477</v>
      </c>
    </row>
    <row r="308" spans="1:3">
      <c r="A308" s="41" t="s">
        <v>900</v>
      </c>
      <c r="B308" s="42">
        <v>51488</v>
      </c>
      <c r="C308" s="42">
        <v>305.67857142857201</v>
      </c>
    </row>
    <row r="309" spans="1:3">
      <c r="A309" s="41" t="s">
        <v>901</v>
      </c>
      <c r="B309" s="42">
        <v>51471</v>
      </c>
      <c r="C309" s="42">
        <v>306.66666666666703</v>
      </c>
    </row>
    <row r="310" spans="1:3">
      <c r="A310" s="41" t="s">
        <v>902</v>
      </c>
      <c r="B310" s="42">
        <v>51459</v>
      </c>
      <c r="C310" s="42">
        <v>307.65476190476198</v>
      </c>
    </row>
    <row r="311" spans="1:3">
      <c r="A311" s="41" t="s">
        <v>903</v>
      </c>
      <c r="B311" s="42">
        <v>51405</v>
      </c>
      <c r="C311" s="42">
        <v>308.642857142857</v>
      </c>
    </row>
    <row r="312" spans="1:3">
      <c r="A312" s="41" t="s">
        <v>904</v>
      </c>
      <c r="B312" s="42">
        <v>51308</v>
      </c>
      <c r="C312" s="42">
        <v>309.63095238095298</v>
      </c>
    </row>
    <row r="313" spans="1:3">
      <c r="A313" s="41" t="s">
        <v>905</v>
      </c>
      <c r="B313" s="42">
        <v>51286</v>
      </c>
      <c r="C313" s="42">
        <v>310.61904761904799</v>
      </c>
    </row>
    <row r="314" spans="1:3">
      <c r="A314" s="41" t="s">
        <v>906</v>
      </c>
      <c r="B314" s="42">
        <v>51243</v>
      </c>
      <c r="C314" s="42">
        <v>311.607142857143</v>
      </c>
    </row>
    <row r="315" spans="1:3">
      <c r="A315" s="41" t="s">
        <v>907</v>
      </c>
      <c r="B315" s="42">
        <v>51180</v>
      </c>
      <c r="C315" s="42">
        <v>312.59523809523802</v>
      </c>
    </row>
    <row r="316" spans="1:3">
      <c r="A316" s="41" t="s">
        <v>908</v>
      </c>
      <c r="B316" s="42">
        <v>51152</v>
      </c>
      <c r="C316" s="42">
        <v>313.583333333334</v>
      </c>
    </row>
    <row r="317" spans="1:3">
      <c r="A317" s="41" t="s">
        <v>909</v>
      </c>
      <c r="B317" s="42">
        <v>51007</v>
      </c>
      <c r="C317" s="42">
        <v>314.57142857142901</v>
      </c>
    </row>
    <row r="318" spans="1:3">
      <c r="A318" s="41" t="s">
        <v>910</v>
      </c>
      <c r="B318" s="42">
        <v>50932</v>
      </c>
      <c r="C318" s="42">
        <v>315.55952380952402</v>
      </c>
    </row>
    <row r="319" spans="1:3">
      <c r="A319" s="41" t="s">
        <v>911</v>
      </c>
      <c r="B319" s="42">
        <v>50922</v>
      </c>
      <c r="C319" s="42">
        <v>316.54761904761898</v>
      </c>
    </row>
    <row r="320" spans="1:3">
      <c r="A320" s="41" t="s">
        <v>912</v>
      </c>
      <c r="B320" s="42">
        <v>50877</v>
      </c>
      <c r="C320" s="42">
        <v>317.53571428571502</v>
      </c>
    </row>
    <row r="321" spans="1:3">
      <c r="A321" s="41" t="s">
        <v>913</v>
      </c>
      <c r="B321" s="42">
        <v>50875</v>
      </c>
      <c r="C321" s="42">
        <v>318.52380952380997</v>
      </c>
    </row>
    <row r="322" spans="1:3">
      <c r="A322" s="41" t="s">
        <v>914</v>
      </c>
      <c r="B322" s="42">
        <v>50748</v>
      </c>
      <c r="C322" s="42">
        <v>319.51190476190499</v>
      </c>
    </row>
    <row r="323" spans="1:3">
      <c r="A323" s="41" t="s">
        <v>915</v>
      </c>
      <c r="B323" s="42">
        <v>50649</v>
      </c>
      <c r="C323" s="42">
        <v>320.5</v>
      </c>
    </row>
    <row r="324" spans="1:3">
      <c r="A324" s="41" t="s">
        <v>916</v>
      </c>
      <c r="B324" s="42">
        <v>50553</v>
      </c>
      <c r="C324" s="42">
        <v>321.48809523809598</v>
      </c>
    </row>
    <row r="325" spans="1:3">
      <c r="A325" s="41" t="s">
        <v>917</v>
      </c>
      <c r="B325" s="42">
        <v>50496</v>
      </c>
      <c r="C325" s="42">
        <v>322.47619047619099</v>
      </c>
    </row>
    <row r="326" spans="1:3">
      <c r="A326" s="41" t="s">
        <v>918</v>
      </c>
      <c r="B326" s="42">
        <v>50384</v>
      </c>
      <c r="C326" s="42">
        <v>323.46428571428601</v>
      </c>
    </row>
    <row r="327" spans="1:3">
      <c r="A327" s="41" t="s">
        <v>919</v>
      </c>
      <c r="B327" s="42">
        <v>50368</v>
      </c>
      <c r="C327" s="42">
        <v>324.45238095238102</v>
      </c>
    </row>
    <row r="328" spans="1:3">
      <c r="A328" s="41" t="s">
        <v>920</v>
      </c>
      <c r="B328" s="42">
        <v>50292</v>
      </c>
      <c r="C328" s="42">
        <v>325.440476190477</v>
      </c>
    </row>
    <row r="329" spans="1:3">
      <c r="A329" s="41" t="s">
        <v>921</v>
      </c>
      <c r="B329" s="42">
        <v>50278</v>
      </c>
      <c r="C329" s="42">
        <v>326.42857142857201</v>
      </c>
    </row>
    <row r="330" spans="1:3">
      <c r="A330" s="41" t="s">
        <v>922</v>
      </c>
      <c r="B330" s="42">
        <v>50178</v>
      </c>
      <c r="C330" s="42">
        <v>327.41666666666703</v>
      </c>
    </row>
    <row r="331" spans="1:3">
      <c r="A331" s="41" t="s">
        <v>923</v>
      </c>
      <c r="B331" s="42">
        <v>50139</v>
      </c>
      <c r="C331" s="42">
        <v>328.40476190476198</v>
      </c>
    </row>
    <row r="332" spans="1:3">
      <c r="A332" s="41" t="s">
        <v>924</v>
      </c>
      <c r="B332" s="42">
        <v>49769</v>
      </c>
      <c r="C332" s="42">
        <v>329.392857142857</v>
      </c>
    </row>
    <row r="333" spans="1:3">
      <c r="A333" s="41" t="s">
        <v>925</v>
      </c>
      <c r="B333" s="42">
        <v>49717</v>
      </c>
      <c r="C333" s="42">
        <v>330.38095238095298</v>
      </c>
    </row>
    <row r="334" spans="1:3">
      <c r="A334" s="41" t="s">
        <v>926</v>
      </c>
      <c r="B334" s="42">
        <v>49649</v>
      </c>
      <c r="C334" s="42">
        <v>331.36904761904799</v>
      </c>
    </row>
    <row r="335" spans="1:3">
      <c r="A335" s="41" t="s">
        <v>927</v>
      </c>
      <c r="B335" s="42">
        <v>49418</v>
      </c>
      <c r="C335" s="42">
        <v>332.357142857143</v>
      </c>
    </row>
    <row r="336" spans="1:3">
      <c r="A336" s="41" t="s">
        <v>928</v>
      </c>
      <c r="B336" s="42">
        <v>49367</v>
      </c>
      <c r="C336" s="42">
        <v>333.34523809523802</v>
      </c>
    </row>
    <row r="337" spans="1:3">
      <c r="A337" s="41" t="s">
        <v>929</v>
      </c>
      <c r="B337" s="42">
        <v>49272</v>
      </c>
      <c r="C337" s="42">
        <v>334.333333333334</v>
      </c>
    </row>
    <row r="338" spans="1:3">
      <c r="A338" s="41" t="s">
        <v>930</v>
      </c>
      <c r="B338" s="42">
        <v>49268</v>
      </c>
      <c r="C338" s="42">
        <v>335.32142857142901</v>
      </c>
    </row>
    <row r="339" spans="1:3">
      <c r="A339" s="41" t="s">
        <v>931</v>
      </c>
      <c r="B339" s="42">
        <v>49244</v>
      </c>
      <c r="C339" s="42">
        <v>336.30952380952402</v>
      </c>
    </row>
    <row r="340" spans="1:3">
      <c r="A340" s="41" t="s">
        <v>932</v>
      </c>
      <c r="B340" s="42">
        <v>49153</v>
      </c>
      <c r="C340" s="42">
        <v>337.29761904761898</v>
      </c>
    </row>
    <row r="341" spans="1:3">
      <c r="A341" s="41" t="s">
        <v>933</v>
      </c>
      <c r="B341" s="42">
        <v>48971</v>
      </c>
      <c r="C341" s="42">
        <v>338.28571428571502</v>
      </c>
    </row>
    <row r="342" spans="1:3">
      <c r="A342" s="41" t="s">
        <v>934</v>
      </c>
      <c r="B342" s="42">
        <v>48891</v>
      </c>
      <c r="C342" s="42">
        <v>339.27380952380997</v>
      </c>
    </row>
    <row r="343" spans="1:3">
      <c r="A343" s="41" t="s">
        <v>935</v>
      </c>
      <c r="B343" s="42">
        <v>48818</v>
      </c>
      <c r="C343" s="42">
        <v>340.26190476190499</v>
      </c>
    </row>
    <row r="344" spans="1:3">
      <c r="A344" s="41" t="s">
        <v>936</v>
      </c>
      <c r="B344" s="42">
        <v>48618</v>
      </c>
      <c r="C344" s="42">
        <v>341.25</v>
      </c>
    </row>
    <row r="345" spans="1:3">
      <c r="A345" s="41" t="s">
        <v>937</v>
      </c>
      <c r="B345" s="42">
        <v>48561</v>
      </c>
      <c r="C345" s="42">
        <v>342.23809523809598</v>
      </c>
    </row>
    <row r="346" spans="1:3">
      <c r="A346" s="41" t="s">
        <v>938</v>
      </c>
      <c r="B346" s="42">
        <v>48546</v>
      </c>
      <c r="C346" s="42">
        <v>343.22619047619099</v>
      </c>
    </row>
    <row r="347" spans="1:3">
      <c r="A347" s="41" t="s">
        <v>939</v>
      </c>
      <c r="B347" s="42">
        <v>48529</v>
      </c>
      <c r="C347" s="42">
        <v>344.21428571428601</v>
      </c>
    </row>
    <row r="348" spans="1:3">
      <c r="A348" s="41" t="s">
        <v>940</v>
      </c>
      <c r="B348" s="42">
        <v>48528</v>
      </c>
      <c r="C348" s="42">
        <v>345.20238095238102</v>
      </c>
    </row>
    <row r="349" spans="1:3">
      <c r="A349" s="41" t="s">
        <v>941</v>
      </c>
      <c r="B349" s="42">
        <v>48511</v>
      </c>
      <c r="C349" s="42">
        <v>346.190476190477</v>
      </c>
    </row>
    <row r="350" spans="1:3">
      <c r="A350" s="41" t="s">
        <v>942</v>
      </c>
      <c r="B350" s="42">
        <v>48268</v>
      </c>
      <c r="C350" s="42">
        <v>347.17857142857201</v>
      </c>
    </row>
    <row r="351" spans="1:3">
      <c r="A351" s="41" t="s">
        <v>943</v>
      </c>
      <c r="B351" s="42">
        <v>48253</v>
      </c>
      <c r="C351" s="42">
        <v>348.16666666666703</v>
      </c>
    </row>
    <row r="352" spans="1:3">
      <c r="A352" s="41" t="s">
        <v>944</v>
      </c>
      <c r="B352" s="42">
        <v>48116</v>
      </c>
      <c r="C352" s="42">
        <v>349.15476190476198</v>
      </c>
    </row>
    <row r="353" spans="1:3">
      <c r="A353" s="41" t="s">
        <v>945</v>
      </c>
      <c r="B353" s="42">
        <v>47991</v>
      </c>
      <c r="C353" s="42">
        <v>350.142857142857</v>
      </c>
    </row>
    <row r="354" spans="1:3">
      <c r="A354" s="41" t="s">
        <v>946</v>
      </c>
      <c r="B354" s="42">
        <v>47947</v>
      </c>
      <c r="C354" s="42">
        <v>351.13095238095298</v>
      </c>
    </row>
    <row r="355" spans="1:3">
      <c r="A355" s="41" t="s">
        <v>947</v>
      </c>
      <c r="B355" s="42">
        <v>47883</v>
      </c>
      <c r="C355" s="42">
        <v>352.11904761904799</v>
      </c>
    </row>
    <row r="356" spans="1:3">
      <c r="A356" s="41" t="s">
        <v>948</v>
      </c>
      <c r="B356" s="42">
        <v>47876</v>
      </c>
      <c r="C356" s="42">
        <v>353.107142857143</v>
      </c>
    </row>
    <row r="357" spans="1:3">
      <c r="A357" s="41" t="s">
        <v>949</v>
      </c>
      <c r="B357" s="42">
        <v>47712</v>
      </c>
      <c r="C357" s="42">
        <v>354.09523809523802</v>
      </c>
    </row>
    <row r="358" spans="1:3">
      <c r="A358" s="41" t="s">
        <v>950</v>
      </c>
      <c r="B358" s="42">
        <v>47629</v>
      </c>
      <c r="C358" s="42">
        <v>355.083333333334</v>
      </c>
    </row>
    <row r="359" spans="1:3">
      <c r="A359" s="41" t="s">
        <v>951</v>
      </c>
      <c r="B359" s="42">
        <v>47609</v>
      </c>
      <c r="C359" s="42">
        <v>356.07142857142901</v>
      </c>
    </row>
    <row r="360" spans="1:3">
      <c r="A360" s="41" t="s">
        <v>952</v>
      </c>
      <c r="B360" s="42">
        <v>47602</v>
      </c>
      <c r="C360" s="42">
        <v>357.05952380952402</v>
      </c>
    </row>
    <row r="361" spans="1:3">
      <c r="A361" s="41" t="s">
        <v>953</v>
      </c>
      <c r="B361" s="42">
        <v>47350</v>
      </c>
      <c r="C361" s="42">
        <v>358.04761904761898</v>
      </c>
    </row>
    <row r="362" spans="1:3">
      <c r="A362" s="41" t="s">
        <v>954</v>
      </c>
      <c r="B362" s="42">
        <v>47206</v>
      </c>
      <c r="C362" s="42">
        <v>359.03571428571502</v>
      </c>
    </row>
    <row r="363" spans="1:3">
      <c r="A363" s="41" t="s">
        <v>955</v>
      </c>
      <c r="B363" s="42">
        <v>47178</v>
      </c>
      <c r="C363" s="42">
        <v>360.02380952380997</v>
      </c>
    </row>
    <row r="364" spans="1:3">
      <c r="A364" s="41" t="s">
        <v>956</v>
      </c>
      <c r="B364" s="42">
        <v>47156</v>
      </c>
      <c r="C364" s="42">
        <v>361.01190476190499</v>
      </c>
    </row>
    <row r="365" spans="1:3">
      <c r="A365" s="41" t="s">
        <v>957</v>
      </c>
      <c r="B365" s="42">
        <v>47028</v>
      </c>
      <c r="C365" s="42">
        <v>362</v>
      </c>
    </row>
    <row r="366" spans="1:3">
      <c r="A366" s="41" t="s">
        <v>958</v>
      </c>
      <c r="B366" s="42">
        <v>46777</v>
      </c>
      <c r="C366" s="42">
        <v>362.98809523809598</v>
      </c>
    </row>
    <row r="367" spans="1:3">
      <c r="A367" s="41" t="s">
        <v>959</v>
      </c>
      <c r="B367" s="42">
        <v>46732</v>
      </c>
      <c r="C367" s="42">
        <v>363.97619047619099</v>
      </c>
    </row>
    <row r="368" spans="1:3">
      <c r="A368" s="41" t="s">
        <v>960</v>
      </c>
      <c r="B368" s="42">
        <v>46727</v>
      </c>
      <c r="C368" s="42">
        <v>364.96428571428601</v>
      </c>
    </row>
    <row r="369" spans="1:3">
      <c r="A369" s="41" t="s">
        <v>961</v>
      </c>
      <c r="B369" s="42">
        <v>46709</v>
      </c>
      <c r="C369" s="42">
        <v>365.95238095238102</v>
      </c>
    </row>
    <row r="370" spans="1:3">
      <c r="A370" s="41" t="s">
        <v>962</v>
      </c>
      <c r="B370" s="42">
        <v>46682</v>
      </c>
      <c r="C370" s="42">
        <v>366.940476190477</v>
      </c>
    </row>
    <row r="371" spans="1:3">
      <c r="A371" s="41" t="s">
        <v>963</v>
      </c>
      <c r="B371" s="42">
        <v>46654</v>
      </c>
      <c r="C371" s="42">
        <v>367.92857142857201</v>
      </c>
    </row>
    <row r="372" spans="1:3">
      <c r="A372" s="41" t="s">
        <v>964</v>
      </c>
      <c r="B372" s="42">
        <v>46441</v>
      </c>
      <c r="C372" s="42">
        <v>368.91666666666703</v>
      </c>
    </row>
    <row r="373" spans="1:3">
      <c r="A373" s="41" t="s">
        <v>965</v>
      </c>
      <c r="B373" s="42">
        <v>46055</v>
      </c>
      <c r="C373" s="42">
        <v>369.90476190476198</v>
      </c>
    </row>
    <row r="374" spans="1:3">
      <c r="A374" s="41" t="s">
        <v>966</v>
      </c>
      <c r="B374" s="42">
        <v>45373</v>
      </c>
      <c r="C374" s="42">
        <v>370.892857142857</v>
      </c>
    </row>
    <row r="375" spans="1:3">
      <c r="A375" s="41" t="s">
        <v>967</v>
      </c>
      <c r="B375" s="42">
        <v>45062</v>
      </c>
      <c r="C375" s="42">
        <v>371.88095238095298</v>
      </c>
    </row>
    <row r="376" spans="1:3">
      <c r="A376" s="41" t="s">
        <v>968</v>
      </c>
      <c r="B376" s="42">
        <v>44737</v>
      </c>
      <c r="C376" s="42">
        <v>372.86904761904799</v>
      </c>
    </row>
    <row r="377" spans="1:3">
      <c r="A377" s="41" t="s">
        <v>969</v>
      </c>
      <c r="B377" s="42">
        <v>44430</v>
      </c>
      <c r="C377" s="42">
        <v>373.857142857143</v>
      </c>
    </row>
    <row r="378" spans="1:3">
      <c r="A378" s="41" t="s">
        <v>970</v>
      </c>
      <c r="B378" s="42">
        <v>44281</v>
      </c>
      <c r="C378" s="42">
        <v>374.84523809523802</v>
      </c>
    </row>
    <row r="379" spans="1:3">
      <c r="A379" s="41" t="s">
        <v>971</v>
      </c>
      <c r="B379" s="42">
        <v>44231</v>
      </c>
      <c r="C379" s="42">
        <v>375.833333333334</v>
      </c>
    </row>
    <row r="380" spans="1:3">
      <c r="A380" s="41" t="s">
        <v>972</v>
      </c>
      <c r="B380" s="42">
        <v>44177</v>
      </c>
      <c r="C380" s="42">
        <v>376.82142857142901</v>
      </c>
    </row>
    <row r="381" spans="1:3">
      <c r="A381" s="41" t="s">
        <v>973</v>
      </c>
      <c r="B381" s="42">
        <v>43994</v>
      </c>
      <c r="C381" s="42">
        <v>377.80952380952402</v>
      </c>
    </row>
    <row r="382" spans="1:3">
      <c r="A382" s="41" t="s">
        <v>974</v>
      </c>
      <c r="B382" s="42">
        <v>42757</v>
      </c>
      <c r="C382" s="42">
        <v>378.79761904761898</v>
      </c>
    </row>
    <row r="383" spans="1:3">
      <c r="A383" s="41" t="s">
        <v>975</v>
      </c>
      <c r="B383" s="42">
        <v>42135</v>
      </c>
      <c r="C383" s="42">
        <v>379.78571428571502</v>
      </c>
    </row>
    <row r="384" spans="1:3">
      <c r="A384" s="41" t="s">
        <v>976</v>
      </c>
      <c r="B384" s="42">
        <v>41210</v>
      </c>
      <c r="C384" s="42">
        <v>380.77380952380997</v>
      </c>
    </row>
    <row r="385" spans="1:3">
      <c r="A385" s="41" t="s">
        <v>977</v>
      </c>
      <c r="B385" s="42">
        <v>38523</v>
      </c>
      <c r="C385" s="42">
        <v>381.76190476190499</v>
      </c>
    </row>
    <row r="386" spans="1:3">
      <c r="A386" s="41" t="s">
        <v>978</v>
      </c>
      <c r="B386" s="42">
        <v>34373</v>
      </c>
      <c r="C386" s="42">
        <v>382.75</v>
      </c>
    </row>
    <row r="387" spans="1:3">
      <c r="A387" s="4"/>
      <c r="B387" s="6"/>
      <c r="C387" s="6"/>
    </row>
    <row r="388" spans="1:3">
      <c r="A388" s="4"/>
      <c r="B388" s="5"/>
      <c r="C388" s="6"/>
    </row>
    <row r="389" spans="1:3">
      <c r="A389" s="7"/>
      <c r="B389" s="8"/>
      <c r="C389" s="9"/>
    </row>
    <row r="390" spans="1:3">
      <c r="A390" s="7"/>
      <c r="B390" s="8"/>
      <c r="C390" s="9"/>
    </row>
    <row r="391" spans="1:3">
      <c r="A391" s="100"/>
      <c r="B391" s="101"/>
      <c r="C391" s="101"/>
    </row>
    <row r="392" spans="1:3">
      <c r="A392" s="100"/>
      <c r="B392" s="101"/>
      <c r="C392" s="101"/>
    </row>
    <row r="393" spans="1:3">
      <c r="A393" s="100"/>
      <c r="B393" s="101"/>
      <c r="C393" s="101"/>
    </row>
  </sheetData>
  <mergeCells count="3">
    <mergeCell ref="A391:C391"/>
    <mergeCell ref="A392:C392"/>
    <mergeCell ref="A393:C393"/>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A1A9F-CEF2-4E80-AE18-D473E3399F2A}">
  <sheetPr codeName="Sheet4"/>
  <dimension ref="A1:B202"/>
  <sheetViews>
    <sheetView topLeftCell="A168" workbookViewId="0">
      <selection activeCell="C12" sqref="C12"/>
    </sheetView>
  </sheetViews>
  <sheetFormatPr defaultRowHeight="14.45"/>
  <cols>
    <col min="1" max="1" width="40.5703125" bestFit="1" customWidth="1"/>
    <col min="2" max="2" width="7.5703125" bestFit="1" customWidth="1"/>
  </cols>
  <sheetData>
    <row r="1" spans="1:2">
      <c r="A1" s="14" t="s">
        <v>979</v>
      </c>
      <c r="B1" s="15" t="s">
        <v>980</v>
      </c>
    </row>
    <row r="2" spans="1:2">
      <c r="A2" s="23" t="s">
        <v>94</v>
      </c>
      <c r="B2" s="25">
        <v>1</v>
      </c>
    </row>
    <row r="3" spans="1:2">
      <c r="A3" s="23" t="s">
        <v>134</v>
      </c>
      <c r="B3" s="25">
        <v>2</v>
      </c>
    </row>
    <row r="4" spans="1:2">
      <c r="A4" s="23" t="s">
        <v>102</v>
      </c>
      <c r="B4" s="25">
        <v>3</v>
      </c>
    </row>
    <row r="5" spans="1:2">
      <c r="A5" s="23" t="s">
        <v>110</v>
      </c>
      <c r="B5" s="25">
        <v>4</v>
      </c>
    </row>
    <row r="6" spans="1:2">
      <c r="A6" s="23" t="s">
        <v>172</v>
      </c>
      <c r="B6" s="25">
        <v>5</v>
      </c>
    </row>
    <row r="7" spans="1:2">
      <c r="A7" s="23" t="s">
        <v>126</v>
      </c>
      <c r="B7" s="25">
        <v>6</v>
      </c>
    </row>
    <row r="8" spans="1:2">
      <c r="A8" s="23" t="s">
        <v>86</v>
      </c>
      <c r="B8" s="25">
        <v>7</v>
      </c>
    </row>
    <row r="9" spans="1:2">
      <c r="A9" s="23" t="s">
        <v>192</v>
      </c>
      <c r="B9" s="25">
        <v>8</v>
      </c>
    </row>
    <row r="10" spans="1:2">
      <c r="A10" s="23" t="s">
        <v>200</v>
      </c>
      <c r="B10" s="25">
        <v>9</v>
      </c>
    </row>
    <row r="11" spans="1:2">
      <c r="A11" s="23" t="s">
        <v>90</v>
      </c>
      <c r="B11" s="25">
        <v>10</v>
      </c>
    </row>
    <row r="12" spans="1:2">
      <c r="A12" s="23" t="s">
        <v>122</v>
      </c>
      <c r="B12" s="25">
        <v>11</v>
      </c>
    </row>
    <row r="13" spans="1:2">
      <c r="A13" s="23" t="s">
        <v>70</v>
      </c>
      <c r="B13" s="25">
        <v>12</v>
      </c>
    </row>
    <row r="14" spans="1:2">
      <c r="A14" s="23" t="s">
        <v>176</v>
      </c>
      <c r="B14" s="25">
        <v>13</v>
      </c>
    </row>
    <row r="15" spans="1:2">
      <c r="A15" s="23" t="s">
        <v>64</v>
      </c>
      <c r="B15" s="25">
        <v>14</v>
      </c>
    </row>
    <row r="16" spans="1:2">
      <c r="A16" s="23" t="s">
        <v>118</v>
      </c>
      <c r="B16" s="25">
        <v>15</v>
      </c>
    </row>
    <row r="17" spans="1:2">
      <c r="A17" s="23" t="s">
        <v>168</v>
      </c>
      <c r="B17" s="25">
        <v>16</v>
      </c>
    </row>
    <row r="18" spans="1:2">
      <c r="A18" s="23" t="s">
        <v>153</v>
      </c>
      <c r="B18" s="25">
        <v>17</v>
      </c>
    </row>
    <row r="19" spans="1:2">
      <c r="A19" s="23" t="s">
        <v>114</v>
      </c>
      <c r="B19" s="25">
        <v>18</v>
      </c>
    </row>
    <row r="20" spans="1:2">
      <c r="A20" s="23" t="s">
        <v>145</v>
      </c>
      <c r="B20" s="25">
        <v>19</v>
      </c>
    </row>
    <row r="21" spans="1:2">
      <c r="A21" s="23" t="s">
        <v>106</v>
      </c>
      <c r="B21" s="25">
        <v>20</v>
      </c>
    </row>
    <row r="22" spans="1:2">
      <c r="A22" s="23" t="s">
        <v>184</v>
      </c>
      <c r="B22" s="25">
        <v>21</v>
      </c>
    </row>
    <row r="23" spans="1:2">
      <c r="A23" s="23" t="s">
        <v>98</v>
      </c>
      <c r="B23" s="25">
        <v>22</v>
      </c>
    </row>
    <row r="24" spans="1:2">
      <c r="A24" s="23" t="s">
        <v>981</v>
      </c>
      <c r="B24" s="25">
        <v>23</v>
      </c>
    </row>
    <row r="25" spans="1:2">
      <c r="A25" s="23" t="s">
        <v>180</v>
      </c>
      <c r="B25" s="25">
        <v>24</v>
      </c>
    </row>
    <row r="26" spans="1:2">
      <c r="A26" s="23" t="s">
        <v>67</v>
      </c>
      <c r="B26" s="25">
        <v>25</v>
      </c>
    </row>
    <row r="27" spans="1:2">
      <c r="A27" s="23" t="s">
        <v>130</v>
      </c>
      <c r="B27" s="25">
        <v>26</v>
      </c>
    </row>
    <row r="28" spans="1:2">
      <c r="A28" s="23" t="s">
        <v>52</v>
      </c>
      <c r="B28" s="25">
        <v>27</v>
      </c>
    </row>
    <row r="29" spans="1:2">
      <c r="A29" s="23" t="s">
        <v>58</v>
      </c>
      <c r="B29" s="25">
        <v>28</v>
      </c>
    </row>
    <row r="30" spans="1:2">
      <c r="A30" s="23" t="s">
        <v>196</v>
      </c>
      <c r="B30" s="25">
        <v>29</v>
      </c>
    </row>
    <row r="31" spans="1:2">
      <c r="A31" s="23" t="s">
        <v>982</v>
      </c>
      <c r="B31" s="25">
        <v>30</v>
      </c>
    </row>
    <row r="32" spans="1:2">
      <c r="A32" s="23" t="s">
        <v>61</v>
      </c>
      <c r="B32" s="25">
        <v>31</v>
      </c>
    </row>
    <row r="33" spans="1:2">
      <c r="A33" s="23" t="s">
        <v>188</v>
      </c>
      <c r="B33" s="25">
        <v>32</v>
      </c>
    </row>
    <row r="34" spans="1:2">
      <c r="A34" s="23" t="s">
        <v>983</v>
      </c>
      <c r="B34" s="25">
        <v>33</v>
      </c>
    </row>
    <row r="35" spans="1:2">
      <c r="A35" s="23" t="s">
        <v>42</v>
      </c>
      <c r="B35" s="25">
        <v>34</v>
      </c>
    </row>
    <row r="36" spans="1:2">
      <c r="A36" s="23" t="s">
        <v>27</v>
      </c>
      <c r="B36" s="25">
        <v>35</v>
      </c>
    </row>
    <row r="37" spans="1:2">
      <c r="A37" s="23" t="s">
        <v>36</v>
      </c>
      <c r="B37" s="25">
        <v>36</v>
      </c>
    </row>
    <row r="38" spans="1:2">
      <c r="A38" s="23" t="s">
        <v>984</v>
      </c>
      <c r="B38" s="25">
        <v>37</v>
      </c>
    </row>
    <row r="39" spans="1:2">
      <c r="A39" s="23" t="s">
        <v>32</v>
      </c>
      <c r="B39" s="25">
        <v>38</v>
      </c>
    </row>
    <row r="40" spans="1:2">
      <c r="A40" s="23" t="s">
        <v>149</v>
      </c>
      <c r="B40" s="25">
        <v>39</v>
      </c>
    </row>
    <row r="41" spans="1:2">
      <c r="A41" s="23" t="s">
        <v>985</v>
      </c>
      <c r="B41" s="25">
        <v>40</v>
      </c>
    </row>
    <row r="42" spans="1:2">
      <c r="A42" s="23" t="s">
        <v>46</v>
      </c>
      <c r="B42" s="25">
        <v>41</v>
      </c>
    </row>
    <row r="43" spans="1:2">
      <c r="A43" s="23" t="s">
        <v>39</v>
      </c>
      <c r="B43" s="25">
        <v>42</v>
      </c>
    </row>
    <row r="44" spans="1:2">
      <c r="A44" s="23" t="s">
        <v>986</v>
      </c>
      <c r="B44" s="25">
        <v>43</v>
      </c>
    </row>
    <row r="45" spans="1:2">
      <c r="A45" s="23" t="s">
        <v>987</v>
      </c>
      <c r="B45" s="25">
        <v>44</v>
      </c>
    </row>
    <row r="46" spans="1:2">
      <c r="A46" s="23" t="s">
        <v>73</v>
      </c>
      <c r="B46" s="25">
        <v>45</v>
      </c>
    </row>
    <row r="47" spans="1:2">
      <c r="A47" s="23" t="s">
        <v>988</v>
      </c>
      <c r="B47" s="25">
        <v>46</v>
      </c>
    </row>
    <row r="48" spans="1:2">
      <c r="A48" s="23" t="s">
        <v>989</v>
      </c>
      <c r="B48" s="25">
        <v>47</v>
      </c>
    </row>
    <row r="49" spans="1:2">
      <c r="A49" s="23" t="s">
        <v>164</v>
      </c>
      <c r="B49" s="25">
        <v>48</v>
      </c>
    </row>
    <row r="50" spans="1:2">
      <c r="A50" s="23" t="s">
        <v>22</v>
      </c>
      <c r="B50" s="25">
        <v>49</v>
      </c>
    </row>
    <row r="51" spans="1:2">
      <c r="A51" s="23" t="s">
        <v>49</v>
      </c>
      <c r="B51" s="25">
        <v>50</v>
      </c>
    </row>
    <row r="52" spans="1:2">
      <c r="A52" s="23" t="s">
        <v>157</v>
      </c>
      <c r="B52" s="25">
        <v>51</v>
      </c>
    </row>
    <row r="53" spans="1:2">
      <c r="A53" s="23" t="s">
        <v>141</v>
      </c>
      <c r="B53" s="25">
        <v>52</v>
      </c>
    </row>
    <row r="54" spans="1:2">
      <c r="A54" s="23" t="s">
        <v>990</v>
      </c>
      <c r="B54" s="25">
        <v>53</v>
      </c>
    </row>
    <row r="55" spans="1:2">
      <c r="A55" s="23" t="s">
        <v>991</v>
      </c>
      <c r="B55" s="25">
        <v>54</v>
      </c>
    </row>
    <row r="56" spans="1:2">
      <c r="A56" s="23" t="s">
        <v>992</v>
      </c>
      <c r="B56" s="25">
        <v>55</v>
      </c>
    </row>
    <row r="57" spans="1:2">
      <c r="A57" s="23" t="s">
        <v>993</v>
      </c>
      <c r="B57" s="25">
        <v>56</v>
      </c>
    </row>
    <row r="58" spans="1:2">
      <c r="A58" s="23" t="s">
        <v>994</v>
      </c>
      <c r="B58" s="25">
        <v>57</v>
      </c>
    </row>
    <row r="59" spans="1:2">
      <c r="A59" s="23" t="s">
        <v>995</v>
      </c>
      <c r="B59" s="25">
        <v>58</v>
      </c>
    </row>
    <row r="60" spans="1:2">
      <c r="A60" s="23" t="s">
        <v>996</v>
      </c>
      <c r="B60" s="25">
        <v>59</v>
      </c>
    </row>
    <row r="61" spans="1:2">
      <c r="A61" s="23" t="s">
        <v>997</v>
      </c>
      <c r="B61" s="25">
        <v>60</v>
      </c>
    </row>
    <row r="62" spans="1:2">
      <c r="A62" s="23" t="s">
        <v>998</v>
      </c>
      <c r="B62" s="25">
        <v>61</v>
      </c>
    </row>
    <row r="63" spans="1:2">
      <c r="A63" s="23" t="s">
        <v>999</v>
      </c>
      <c r="B63" s="25">
        <v>62</v>
      </c>
    </row>
    <row r="64" spans="1:2">
      <c r="A64" s="23" t="s">
        <v>1000</v>
      </c>
      <c r="B64" s="25">
        <v>63</v>
      </c>
    </row>
    <row r="65" spans="1:2">
      <c r="A65" s="23" t="s">
        <v>1001</v>
      </c>
      <c r="B65" s="25">
        <v>64</v>
      </c>
    </row>
    <row r="66" spans="1:2">
      <c r="A66" s="23" t="s">
        <v>1002</v>
      </c>
      <c r="B66" s="25">
        <v>65</v>
      </c>
    </row>
    <row r="67" spans="1:2">
      <c r="A67" s="23" t="s">
        <v>1003</v>
      </c>
      <c r="B67" s="25">
        <v>66</v>
      </c>
    </row>
    <row r="68" spans="1:2">
      <c r="A68" s="23" t="s">
        <v>1004</v>
      </c>
      <c r="B68" s="25">
        <v>67</v>
      </c>
    </row>
    <row r="69" spans="1:2">
      <c r="A69" s="23" t="s">
        <v>1005</v>
      </c>
      <c r="B69" s="25">
        <v>68</v>
      </c>
    </row>
    <row r="70" spans="1:2">
      <c r="A70" s="23" t="s">
        <v>1006</v>
      </c>
      <c r="B70" s="25">
        <v>69</v>
      </c>
    </row>
    <row r="71" spans="1:2">
      <c r="A71" s="23" t="s">
        <v>1007</v>
      </c>
      <c r="B71" s="25">
        <v>70</v>
      </c>
    </row>
    <row r="72" spans="1:2">
      <c r="A72" s="23" t="s">
        <v>1008</v>
      </c>
      <c r="B72" s="25">
        <v>71</v>
      </c>
    </row>
    <row r="73" spans="1:2">
      <c r="A73" s="23" t="s">
        <v>1009</v>
      </c>
      <c r="B73" s="25">
        <v>72</v>
      </c>
    </row>
    <row r="74" spans="1:2">
      <c r="A74" s="23" t="s">
        <v>1010</v>
      </c>
      <c r="B74" s="25">
        <v>73</v>
      </c>
    </row>
    <row r="75" spans="1:2">
      <c r="A75" s="23" t="s">
        <v>55</v>
      </c>
      <c r="B75" s="25">
        <v>74</v>
      </c>
    </row>
    <row r="76" spans="1:2">
      <c r="A76" s="23" t="s">
        <v>872</v>
      </c>
      <c r="B76" s="25">
        <v>75</v>
      </c>
    </row>
    <row r="77" spans="1:2">
      <c r="A77" s="23" t="s">
        <v>1011</v>
      </c>
      <c r="B77" s="25">
        <v>76</v>
      </c>
    </row>
    <row r="78" spans="1:2">
      <c r="A78" s="23" t="s">
        <v>795</v>
      </c>
      <c r="B78" s="25">
        <v>77</v>
      </c>
    </row>
    <row r="79" spans="1:2">
      <c r="A79" s="23" t="s">
        <v>1012</v>
      </c>
      <c r="B79" s="25">
        <v>78</v>
      </c>
    </row>
    <row r="80" spans="1:2">
      <c r="A80" s="23" t="s">
        <v>1013</v>
      </c>
      <c r="B80" s="25">
        <v>79</v>
      </c>
    </row>
    <row r="81" spans="1:2">
      <c r="A81" s="23" t="s">
        <v>745</v>
      </c>
      <c r="B81" s="25">
        <v>80</v>
      </c>
    </row>
    <row r="82" spans="1:2">
      <c r="A82" s="23" t="s">
        <v>1014</v>
      </c>
      <c r="B82" s="25">
        <v>81</v>
      </c>
    </row>
    <row r="83" spans="1:2">
      <c r="A83" s="23" t="s">
        <v>1015</v>
      </c>
      <c r="B83" s="25">
        <v>82</v>
      </c>
    </row>
    <row r="84" spans="1:2">
      <c r="A84" s="23" t="s">
        <v>1016</v>
      </c>
      <c r="B84" s="25">
        <v>83</v>
      </c>
    </row>
    <row r="85" spans="1:2">
      <c r="A85" s="23" t="s">
        <v>1017</v>
      </c>
      <c r="B85" s="25">
        <v>84</v>
      </c>
    </row>
    <row r="86" spans="1:2">
      <c r="A86" s="23" t="s">
        <v>1018</v>
      </c>
      <c r="B86" s="25">
        <v>85</v>
      </c>
    </row>
    <row r="87" spans="1:2">
      <c r="A87" s="23" t="s">
        <v>1019</v>
      </c>
      <c r="B87" s="25">
        <v>86</v>
      </c>
    </row>
    <row r="88" spans="1:2">
      <c r="A88" s="23" t="s">
        <v>1020</v>
      </c>
      <c r="B88" s="25">
        <v>87</v>
      </c>
    </row>
    <row r="89" spans="1:2">
      <c r="A89" s="23" t="s">
        <v>1021</v>
      </c>
      <c r="B89" s="25">
        <v>88</v>
      </c>
    </row>
    <row r="90" spans="1:2">
      <c r="A90" s="23" t="s">
        <v>1022</v>
      </c>
      <c r="B90" s="25">
        <v>89</v>
      </c>
    </row>
    <row r="91" spans="1:2">
      <c r="A91" s="23" t="s">
        <v>1023</v>
      </c>
      <c r="B91" s="25">
        <v>90</v>
      </c>
    </row>
    <row r="92" spans="1:2">
      <c r="A92" s="23" t="s">
        <v>1024</v>
      </c>
      <c r="B92" s="25">
        <v>91</v>
      </c>
    </row>
    <row r="93" spans="1:2">
      <c r="A93" s="23" t="s">
        <v>1025</v>
      </c>
      <c r="B93" s="25">
        <v>92</v>
      </c>
    </row>
    <row r="94" spans="1:2">
      <c r="A94" s="23" t="s">
        <v>1026</v>
      </c>
      <c r="B94" s="25">
        <v>93</v>
      </c>
    </row>
    <row r="95" spans="1:2">
      <c r="A95" s="23" t="s">
        <v>1027</v>
      </c>
      <c r="B95" s="25">
        <v>94</v>
      </c>
    </row>
    <row r="96" spans="1:2">
      <c r="A96" s="23" t="s">
        <v>1028</v>
      </c>
      <c r="B96" s="25">
        <v>95</v>
      </c>
    </row>
    <row r="97" spans="1:2">
      <c r="A97" s="23" t="s">
        <v>1029</v>
      </c>
      <c r="B97" s="25">
        <v>96</v>
      </c>
    </row>
    <row r="98" spans="1:2">
      <c r="A98" s="23" t="s">
        <v>1030</v>
      </c>
      <c r="B98" s="25">
        <v>97</v>
      </c>
    </row>
    <row r="99" spans="1:2">
      <c r="A99" s="23" t="s">
        <v>1031</v>
      </c>
      <c r="B99" s="25">
        <v>98</v>
      </c>
    </row>
    <row r="100" spans="1:2">
      <c r="A100" s="23" t="s">
        <v>1032</v>
      </c>
      <c r="B100" s="25">
        <v>99</v>
      </c>
    </row>
    <row r="101" spans="1:2">
      <c r="A101" s="23" t="s">
        <v>793</v>
      </c>
      <c r="B101" s="25">
        <v>100</v>
      </c>
    </row>
    <row r="102" spans="1:2">
      <c r="A102" s="23" t="s">
        <v>1033</v>
      </c>
      <c r="B102" s="25">
        <v>101</v>
      </c>
    </row>
    <row r="103" spans="1:2">
      <c r="A103" s="23" t="s">
        <v>1034</v>
      </c>
      <c r="B103" s="25">
        <v>102</v>
      </c>
    </row>
    <row r="104" spans="1:2">
      <c r="A104" s="23" t="s">
        <v>1035</v>
      </c>
      <c r="B104" s="25">
        <v>103</v>
      </c>
    </row>
    <row r="105" spans="1:2">
      <c r="A105" s="23" t="s">
        <v>1036</v>
      </c>
      <c r="B105" s="25">
        <v>104</v>
      </c>
    </row>
    <row r="106" spans="1:2">
      <c r="A106" s="23" t="s">
        <v>1037</v>
      </c>
      <c r="B106" s="25">
        <v>105</v>
      </c>
    </row>
    <row r="107" spans="1:2">
      <c r="A107" s="23" t="s">
        <v>1038</v>
      </c>
      <c r="B107" s="25">
        <v>106</v>
      </c>
    </row>
    <row r="108" spans="1:2">
      <c r="A108" s="23" t="s">
        <v>1039</v>
      </c>
      <c r="B108" s="25">
        <v>107</v>
      </c>
    </row>
    <row r="109" spans="1:2">
      <c r="A109" s="23" t="s">
        <v>1040</v>
      </c>
      <c r="B109" s="25">
        <v>108</v>
      </c>
    </row>
    <row r="110" spans="1:2">
      <c r="A110" s="23" t="s">
        <v>1041</v>
      </c>
      <c r="B110" s="25">
        <v>109</v>
      </c>
    </row>
    <row r="111" spans="1:2">
      <c r="A111" s="23" t="s">
        <v>1042</v>
      </c>
      <c r="B111" s="25">
        <v>110</v>
      </c>
    </row>
    <row r="112" spans="1:2">
      <c r="A112" s="23" t="s">
        <v>1043</v>
      </c>
      <c r="B112" s="25">
        <v>111</v>
      </c>
    </row>
    <row r="113" spans="1:2">
      <c r="A113" s="23" t="s">
        <v>1044</v>
      </c>
      <c r="B113" s="25">
        <v>112</v>
      </c>
    </row>
    <row r="114" spans="1:2">
      <c r="A114" s="23" t="s">
        <v>1045</v>
      </c>
      <c r="B114" s="25">
        <v>113</v>
      </c>
    </row>
    <row r="115" spans="1:2">
      <c r="A115" s="23" t="s">
        <v>1046</v>
      </c>
      <c r="B115" s="25">
        <v>114</v>
      </c>
    </row>
    <row r="116" spans="1:2">
      <c r="A116" s="23" t="s">
        <v>1047</v>
      </c>
      <c r="B116" s="25">
        <v>115</v>
      </c>
    </row>
    <row r="117" spans="1:2">
      <c r="A117" s="23" t="s">
        <v>1048</v>
      </c>
      <c r="B117" s="25">
        <v>116</v>
      </c>
    </row>
    <row r="118" spans="1:2">
      <c r="A118" s="23" t="s">
        <v>1049</v>
      </c>
      <c r="B118" s="25">
        <v>117</v>
      </c>
    </row>
    <row r="119" spans="1:2">
      <c r="A119" s="23" t="s">
        <v>1050</v>
      </c>
      <c r="B119" s="25">
        <v>118</v>
      </c>
    </row>
    <row r="120" spans="1:2">
      <c r="A120" s="23" t="s">
        <v>1051</v>
      </c>
      <c r="B120" s="25">
        <v>119</v>
      </c>
    </row>
    <row r="121" spans="1:2">
      <c r="A121" s="23" t="s">
        <v>1052</v>
      </c>
      <c r="B121" s="25">
        <v>120</v>
      </c>
    </row>
    <row r="122" spans="1:2">
      <c r="A122" s="23" t="s">
        <v>1053</v>
      </c>
      <c r="B122" s="25">
        <v>121</v>
      </c>
    </row>
    <row r="123" spans="1:2">
      <c r="A123" s="23" t="s">
        <v>1054</v>
      </c>
      <c r="B123" s="25">
        <v>122</v>
      </c>
    </row>
    <row r="124" spans="1:2">
      <c r="A124" s="23" t="s">
        <v>1055</v>
      </c>
      <c r="B124" s="25">
        <v>123</v>
      </c>
    </row>
    <row r="125" spans="1:2">
      <c r="A125" s="23" t="s">
        <v>1056</v>
      </c>
      <c r="B125" s="25">
        <v>124</v>
      </c>
    </row>
    <row r="126" spans="1:2">
      <c r="A126" s="23" t="s">
        <v>797</v>
      </c>
      <c r="B126" s="25">
        <v>125</v>
      </c>
    </row>
    <row r="127" spans="1:2">
      <c r="A127" s="23" t="s">
        <v>1057</v>
      </c>
      <c r="B127" s="25">
        <v>126</v>
      </c>
    </row>
    <row r="128" spans="1:2">
      <c r="A128" s="23" t="s">
        <v>1058</v>
      </c>
      <c r="B128" s="25">
        <v>127</v>
      </c>
    </row>
    <row r="129" spans="1:2">
      <c r="A129" s="23" t="s">
        <v>1059</v>
      </c>
      <c r="B129" s="25">
        <v>128</v>
      </c>
    </row>
    <row r="130" spans="1:2">
      <c r="A130" s="23" t="s">
        <v>1060</v>
      </c>
      <c r="B130" s="25">
        <v>129</v>
      </c>
    </row>
    <row r="131" spans="1:2">
      <c r="A131" s="23" t="s">
        <v>1061</v>
      </c>
      <c r="B131" s="25">
        <v>130</v>
      </c>
    </row>
    <row r="132" spans="1:2">
      <c r="A132" s="23" t="s">
        <v>1062</v>
      </c>
      <c r="B132" s="25">
        <v>131</v>
      </c>
    </row>
    <row r="133" spans="1:2">
      <c r="A133" s="23" t="s">
        <v>1063</v>
      </c>
      <c r="B133" s="25">
        <v>132</v>
      </c>
    </row>
    <row r="134" spans="1:2">
      <c r="A134" s="23" t="s">
        <v>1064</v>
      </c>
      <c r="B134" s="25">
        <v>133</v>
      </c>
    </row>
    <row r="135" spans="1:2">
      <c r="A135" s="23" t="s">
        <v>1065</v>
      </c>
      <c r="B135" s="25">
        <v>134</v>
      </c>
    </row>
    <row r="136" spans="1:2">
      <c r="A136" s="23" t="s">
        <v>1066</v>
      </c>
      <c r="B136" s="25">
        <v>135</v>
      </c>
    </row>
    <row r="137" spans="1:2">
      <c r="A137" s="23" t="s">
        <v>1067</v>
      </c>
      <c r="B137" s="25">
        <v>136</v>
      </c>
    </row>
    <row r="138" spans="1:2">
      <c r="A138" s="23" t="s">
        <v>1068</v>
      </c>
      <c r="B138" s="25">
        <v>137</v>
      </c>
    </row>
    <row r="139" spans="1:2">
      <c r="A139" s="23" t="s">
        <v>1069</v>
      </c>
      <c r="B139" s="25">
        <v>138</v>
      </c>
    </row>
    <row r="140" spans="1:2">
      <c r="A140" s="23" t="s">
        <v>1070</v>
      </c>
      <c r="B140" s="25">
        <v>139</v>
      </c>
    </row>
    <row r="141" spans="1:2">
      <c r="A141" s="23" t="s">
        <v>1071</v>
      </c>
      <c r="B141" s="25">
        <v>140</v>
      </c>
    </row>
    <row r="142" spans="1:2">
      <c r="A142" s="23" t="s">
        <v>1072</v>
      </c>
      <c r="B142" s="25">
        <v>141</v>
      </c>
    </row>
    <row r="143" spans="1:2">
      <c r="A143" s="23" t="s">
        <v>1073</v>
      </c>
      <c r="B143" s="25">
        <v>142</v>
      </c>
    </row>
    <row r="144" spans="1:2">
      <c r="A144" s="23" t="s">
        <v>1074</v>
      </c>
      <c r="B144" s="25">
        <v>143</v>
      </c>
    </row>
    <row r="145" spans="1:2">
      <c r="A145" s="23" t="s">
        <v>1075</v>
      </c>
      <c r="B145" s="25">
        <v>144</v>
      </c>
    </row>
    <row r="146" spans="1:2">
      <c r="A146" s="23" t="s">
        <v>1076</v>
      </c>
      <c r="B146" s="25">
        <v>145</v>
      </c>
    </row>
    <row r="147" spans="1:2">
      <c r="A147" s="23" t="s">
        <v>1077</v>
      </c>
      <c r="B147" s="25">
        <v>146</v>
      </c>
    </row>
    <row r="148" spans="1:2">
      <c r="A148" s="23" t="s">
        <v>1078</v>
      </c>
      <c r="B148" s="25">
        <v>147</v>
      </c>
    </row>
    <row r="149" spans="1:2">
      <c r="A149" s="23" t="s">
        <v>1079</v>
      </c>
      <c r="B149" s="25">
        <v>148</v>
      </c>
    </row>
    <row r="150" spans="1:2">
      <c r="A150" s="23" t="s">
        <v>1080</v>
      </c>
      <c r="B150" s="25">
        <v>149</v>
      </c>
    </row>
    <row r="151" spans="1:2">
      <c r="A151" s="23" t="s">
        <v>1081</v>
      </c>
      <c r="B151" s="25">
        <v>150</v>
      </c>
    </row>
    <row r="152" spans="1:2">
      <c r="A152" s="23" t="s">
        <v>1082</v>
      </c>
      <c r="B152" s="25">
        <v>151</v>
      </c>
    </row>
    <row r="153" spans="1:2">
      <c r="A153" s="23" t="s">
        <v>1083</v>
      </c>
      <c r="B153" s="25">
        <v>152</v>
      </c>
    </row>
    <row r="154" spans="1:2">
      <c r="A154" s="23" t="s">
        <v>938</v>
      </c>
      <c r="B154" s="25">
        <v>153</v>
      </c>
    </row>
    <row r="155" spans="1:2">
      <c r="A155" s="23" t="s">
        <v>1084</v>
      </c>
      <c r="B155" s="25">
        <v>154</v>
      </c>
    </row>
    <row r="156" spans="1:2">
      <c r="A156" s="23" t="s">
        <v>1085</v>
      </c>
      <c r="B156" s="25">
        <v>155</v>
      </c>
    </row>
    <row r="157" spans="1:2">
      <c r="A157" s="23" t="s">
        <v>1086</v>
      </c>
      <c r="B157" s="25">
        <v>156</v>
      </c>
    </row>
    <row r="158" spans="1:2">
      <c r="A158" s="23" t="s">
        <v>1087</v>
      </c>
      <c r="B158" s="25">
        <v>157</v>
      </c>
    </row>
    <row r="159" spans="1:2">
      <c r="A159" s="23" t="s">
        <v>1088</v>
      </c>
      <c r="B159" s="25">
        <v>158</v>
      </c>
    </row>
    <row r="160" spans="1:2">
      <c r="A160" s="23" t="s">
        <v>1089</v>
      </c>
      <c r="B160" s="25">
        <v>159</v>
      </c>
    </row>
    <row r="161" spans="1:2">
      <c r="A161" s="23" t="s">
        <v>1090</v>
      </c>
      <c r="B161" s="25">
        <v>160</v>
      </c>
    </row>
    <row r="162" spans="1:2">
      <c r="A162" s="23" t="s">
        <v>1091</v>
      </c>
      <c r="B162" s="25">
        <v>161</v>
      </c>
    </row>
    <row r="163" spans="1:2">
      <c r="A163" s="23" t="s">
        <v>1092</v>
      </c>
      <c r="B163" s="25">
        <v>162</v>
      </c>
    </row>
    <row r="164" spans="1:2">
      <c r="A164" s="23" t="s">
        <v>1093</v>
      </c>
      <c r="B164" s="25">
        <v>163</v>
      </c>
    </row>
    <row r="165" spans="1:2">
      <c r="A165" s="23" t="s">
        <v>1094</v>
      </c>
      <c r="B165" s="25">
        <v>164</v>
      </c>
    </row>
    <row r="166" spans="1:2">
      <c r="A166" s="23" t="s">
        <v>1095</v>
      </c>
      <c r="B166" s="25">
        <v>165</v>
      </c>
    </row>
    <row r="167" spans="1:2">
      <c r="A167" s="23" t="s">
        <v>1096</v>
      </c>
      <c r="B167" s="25">
        <v>166</v>
      </c>
    </row>
    <row r="168" spans="1:2">
      <c r="A168" s="23" t="s">
        <v>1097</v>
      </c>
      <c r="B168" s="25">
        <v>167</v>
      </c>
    </row>
    <row r="169" spans="1:2">
      <c r="A169" s="23" t="s">
        <v>1098</v>
      </c>
      <c r="B169" s="25">
        <v>168</v>
      </c>
    </row>
    <row r="170" spans="1:2">
      <c r="A170" s="23" t="s">
        <v>1099</v>
      </c>
      <c r="B170" s="25">
        <v>169</v>
      </c>
    </row>
    <row r="171" spans="1:2">
      <c r="A171" s="23" t="s">
        <v>1100</v>
      </c>
      <c r="B171" s="25">
        <v>170</v>
      </c>
    </row>
    <row r="172" spans="1:2">
      <c r="A172" s="23" t="s">
        <v>1101</v>
      </c>
      <c r="B172" s="25">
        <v>171</v>
      </c>
    </row>
    <row r="173" spans="1:2">
      <c r="A173" s="23" t="s">
        <v>1102</v>
      </c>
      <c r="B173" s="25">
        <v>172</v>
      </c>
    </row>
    <row r="174" spans="1:2">
      <c r="A174" s="23" t="s">
        <v>1103</v>
      </c>
      <c r="B174" s="25">
        <v>173</v>
      </c>
    </row>
    <row r="175" spans="1:2">
      <c r="A175" s="23" t="s">
        <v>1104</v>
      </c>
      <c r="B175" s="25">
        <v>174</v>
      </c>
    </row>
    <row r="176" spans="1:2">
      <c r="A176" s="23" t="s">
        <v>890</v>
      </c>
      <c r="B176" s="25">
        <v>175</v>
      </c>
    </row>
    <row r="177" spans="1:2">
      <c r="A177" s="23" t="s">
        <v>1105</v>
      </c>
      <c r="B177" s="25">
        <v>176</v>
      </c>
    </row>
    <row r="178" spans="1:2">
      <c r="A178" s="23" t="s">
        <v>1106</v>
      </c>
      <c r="B178" s="25">
        <v>177</v>
      </c>
    </row>
    <row r="179" spans="1:2">
      <c r="A179" s="23" t="s">
        <v>1107</v>
      </c>
      <c r="B179" s="25">
        <v>178</v>
      </c>
    </row>
    <row r="180" spans="1:2">
      <c r="A180" s="23" t="s">
        <v>1108</v>
      </c>
      <c r="B180" s="25">
        <v>179</v>
      </c>
    </row>
    <row r="181" spans="1:2">
      <c r="A181" s="23" t="s">
        <v>1109</v>
      </c>
      <c r="B181" s="25">
        <v>180</v>
      </c>
    </row>
    <row r="182" spans="1:2">
      <c r="A182" s="23" t="s">
        <v>1110</v>
      </c>
      <c r="B182" s="25">
        <v>181</v>
      </c>
    </row>
    <row r="183" spans="1:2">
      <c r="A183" s="23" t="s">
        <v>1111</v>
      </c>
      <c r="B183" s="25">
        <v>182</v>
      </c>
    </row>
    <row r="184" spans="1:2">
      <c r="A184" s="23" t="s">
        <v>1112</v>
      </c>
      <c r="B184" s="25">
        <v>183</v>
      </c>
    </row>
    <row r="185" spans="1:2">
      <c r="A185" s="23" t="s">
        <v>1113</v>
      </c>
      <c r="B185" s="25">
        <v>184</v>
      </c>
    </row>
    <row r="186" spans="1:2">
      <c r="A186" s="23" t="s">
        <v>1114</v>
      </c>
      <c r="B186" s="25">
        <v>185</v>
      </c>
    </row>
    <row r="187" spans="1:2">
      <c r="A187" s="23" t="s">
        <v>1115</v>
      </c>
      <c r="B187" s="25">
        <v>186</v>
      </c>
    </row>
    <row r="188" spans="1:2">
      <c r="A188" s="23" t="s">
        <v>1116</v>
      </c>
      <c r="B188" s="25">
        <v>187</v>
      </c>
    </row>
    <row r="189" spans="1:2">
      <c r="A189" s="23" t="s">
        <v>1117</v>
      </c>
      <c r="B189" s="25">
        <v>188</v>
      </c>
    </row>
    <row r="190" spans="1:2">
      <c r="A190" s="23" t="s">
        <v>1118</v>
      </c>
      <c r="B190" s="25">
        <v>189</v>
      </c>
    </row>
    <row r="191" spans="1:2">
      <c r="A191" s="23" t="s">
        <v>1119</v>
      </c>
      <c r="B191" s="25">
        <v>190</v>
      </c>
    </row>
    <row r="192" spans="1:2">
      <c r="A192" s="23" t="s">
        <v>1120</v>
      </c>
      <c r="B192" s="25">
        <v>191</v>
      </c>
    </row>
    <row r="193" spans="1:2">
      <c r="A193" s="23" t="s">
        <v>1121</v>
      </c>
      <c r="B193" s="25">
        <v>192</v>
      </c>
    </row>
    <row r="194" spans="1:2">
      <c r="A194" s="23" t="s">
        <v>1122</v>
      </c>
      <c r="B194" s="25">
        <v>193</v>
      </c>
    </row>
    <row r="195" spans="1:2">
      <c r="A195" s="23" t="s">
        <v>1123</v>
      </c>
      <c r="B195" s="25">
        <v>194</v>
      </c>
    </row>
    <row r="196" spans="1:2">
      <c r="A196" s="23" t="s">
        <v>1124</v>
      </c>
      <c r="B196" s="25">
        <v>195</v>
      </c>
    </row>
    <row r="197" spans="1:2">
      <c r="A197" s="23" t="s">
        <v>1125</v>
      </c>
      <c r="B197" s="25">
        <v>196</v>
      </c>
    </row>
    <row r="198" spans="1:2">
      <c r="A198" s="23" t="s">
        <v>1126</v>
      </c>
      <c r="B198" s="25">
        <v>197</v>
      </c>
    </row>
    <row r="199" spans="1:2">
      <c r="A199" s="23" t="s">
        <v>1127</v>
      </c>
      <c r="B199" s="25">
        <v>198</v>
      </c>
    </row>
    <row r="200" spans="1:2">
      <c r="A200" s="23" t="s">
        <v>1128</v>
      </c>
      <c r="B200" s="25">
        <v>199</v>
      </c>
    </row>
    <row r="201" spans="1:2">
      <c r="A201" s="23" t="s">
        <v>1129</v>
      </c>
      <c r="B201" s="25">
        <v>200</v>
      </c>
    </row>
    <row r="202" spans="1:2">
      <c r="A202" s="28" t="s">
        <v>1130</v>
      </c>
      <c r="B202" s="18">
        <v>201</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CB0E1-4CEC-48F4-9830-67682F6FA816}">
  <sheetPr codeName="Sheet11"/>
  <dimension ref="A1:B212"/>
  <sheetViews>
    <sheetView workbookViewId="0">
      <selection activeCell="A117" sqref="A117"/>
    </sheetView>
  </sheetViews>
  <sheetFormatPr defaultRowHeight="14.45"/>
  <cols>
    <col min="1" max="1" width="55.85546875" bestFit="1" customWidth="1"/>
    <col min="2" max="2" width="32.42578125" customWidth="1"/>
  </cols>
  <sheetData>
    <row r="1" spans="1:2">
      <c r="A1" s="14" t="s">
        <v>1131</v>
      </c>
      <c r="B1" s="15" t="s">
        <v>1132</v>
      </c>
    </row>
    <row r="2" spans="1:2">
      <c r="A2" s="23" t="s">
        <v>1133</v>
      </c>
      <c r="B2" s="25">
        <v>100</v>
      </c>
    </row>
    <row r="3" spans="1:2">
      <c r="A3" s="23" t="s">
        <v>184</v>
      </c>
      <c r="B3" s="25">
        <v>88</v>
      </c>
    </row>
    <row r="4" spans="1:2">
      <c r="A4" s="23" t="s">
        <v>122</v>
      </c>
      <c r="B4" s="25">
        <v>81</v>
      </c>
    </row>
    <row r="5" spans="1:2">
      <c r="A5" s="23" t="s">
        <v>164</v>
      </c>
      <c r="B5" s="25">
        <v>78</v>
      </c>
    </row>
    <row r="6" spans="1:2">
      <c r="A6" s="23" t="s">
        <v>141</v>
      </c>
      <c r="B6" s="25">
        <v>78</v>
      </c>
    </row>
    <row r="7" spans="1:2">
      <c r="A7" s="23" t="s">
        <v>192</v>
      </c>
      <c r="B7" s="25">
        <v>77</v>
      </c>
    </row>
    <row r="8" spans="1:2">
      <c r="A8" s="23" t="s">
        <v>106</v>
      </c>
      <c r="B8" s="25">
        <v>75</v>
      </c>
    </row>
    <row r="9" spans="1:2">
      <c r="A9" s="23" t="s">
        <v>1134</v>
      </c>
      <c r="B9" s="25">
        <v>72</v>
      </c>
    </row>
    <row r="10" spans="1:2">
      <c r="A10" s="23" t="s">
        <v>46</v>
      </c>
      <c r="B10" s="25">
        <v>70</v>
      </c>
    </row>
    <row r="11" spans="1:2">
      <c r="A11" s="23" t="s">
        <v>149</v>
      </c>
      <c r="B11" s="25">
        <v>70</v>
      </c>
    </row>
    <row r="12" spans="1:2">
      <c r="A12" s="23" t="s">
        <v>153</v>
      </c>
      <c r="B12" s="25">
        <v>68</v>
      </c>
    </row>
    <row r="13" spans="1:2">
      <c r="A13" s="23" t="s">
        <v>1135</v>
      </c>
      <c r="B13" s="25">
        <v>68</v>
      </c>
    </row>
    <row r="14" spans="1:2">
      <c r="A14" s="23" t="s">
        <v>1136</v>
      </c>
      <c r="B14" s="25">
        <v>66</v>
      </c>
    </row>
    <row r="15" spans="1:2">
      <c r="A15" s="23" t="s">
        <v>102</v>
      </c>
      <c r="B15" s="25">
        <v>65</v>
      </c>
    </row>
    <row r="16" spans="1:2">
      <c r="A16" s="23" t="s">
        <v>130</v>
      </c>
      <c r="B16" s="25">
        <v>65</v>
      </c>
    </row>
    <row r="17" spans="1:2">
      <c r="A17" s="23" t="s">
        <v>90</v>
      </c>
      <c r="B17" s="25">
        <v>65</v>
      </c>
    </row>
    <row r="18" spans="1:2">
      <c r="A18" s="23" t="s">
        <v>134</v>
      </c>
      <c r="B18" s="25">
        <v>64</v>
      </c>
    </row>
    <row r="19" spans="1:2">
      <c r="A19" s="23" t="s">
        <v>145</v>
      </c>
      <c r="B19" s="25">
        <v>64</v>
      </c>
    </row>
    <row r="20" spans="1:2">
      <c r="A20" s="23" t="s">
        <v>94</v>
      </c>
      <c r="B20" s="25">
        <v>62</v>
      </c>
    </row>
    <row r="21" spans="1:2">
      <c r="A21" s="23" t="s">
        <v>1137</v>
      </c>
      <c r="B21" s="25">
        <v>62</v>
      </c>
    </row>
    <row r="22" spans="1:2">
      <c r="A22" s="23" t="s">
        <v>188</v>
      </c>
      <c r="B22" s="25">
        <v>62</v>
      </c>
    </row>
    <row r="23" spans="1:2">
      <c r="A23" s="23" t="s">
        <v>1138</v>
      </c>
      <c r="B23" s="25">
        <v>61</v>
      </c>
    </row>
    <row r="24" spans="1:2">
      <c r="A24" s="23" t="s">
        <v>1139</v>
      </c>
      <c r="B24" s="25">
        <v>60</v>
      </c>
    </row>
    <row r="25" spans="1:2">
      <c r="A25" s="23" t="s">
        <v>176</v>
      </c>
      <c r="B25" s="25">
        <v>59</v>
      </c>
    </row>
    <row r="26" spans="1:2">
      <c r="A26" s="23" t="s">
        <v>1140</v>
      </c>
      <c r="B26" s="25">
        <v>59</v>
      </c>
    </row>
    <row r="27" spans="1:2">
      <c r="A27" s="23" t="s">
        <v>118</v>
      </c>
      <c r="B27" s="25">
        <v>58</v>
      </c>
    </row>
    <row r="28" spans="1:2">
      <c r="A28" s="23" t="s">
        <v>1141</v>
      </c>
      <c r="B28" s="25">
        <v>58</v>
      </c>
    </row>
    <row r="29" spans="1:2">
      <c r="A29" s="23" t="s">
        <v>1142</v>
      </c>
      <c r="B29" s="25">
        <v>57</v>
      </c>
    </row>
    <row r="30" spans="1:2">
      <c r="A30" s="23" t="s">
        <v>114</v>
      </c>
      <c r="B30" s="25">
        <v>57</v>
      </c>
    </row>
    <row r="31" spans="1:2">
      <c r="A31" s="23" t="s">
        <v>172</v>
      </c>
      <c r="B31" s="25">
        <v>57</v>
      </c>
    </row>
    <row r="32" spans="1:2">
      <c r="A32" s="23" t="s">
        <v>1143</v>
      </c>
      <c r="B32" s="25">
        <v>57</v>
      </c>
    </row>
    <row r="33" spans="1:2">
      <c r="A33" s="23" t="s">
        <v>110</v>
      </c>
      <c r="B33" s="25">
        <v>57</v>
      </c>
    </row>
    <row r="34" spans="1:2">
      <c r="A34" s="23" t="s">
        <v>1144</v>
      </c>
      <c r="B34" s="25">
        <v>57</v>
      </c>
    </row>
    <row r="35" spans="1:2">
      <c r="A35" s="23" t="s">
        <v>1145</v>
      </c>
      <c r="B35" s="25">
        <v>55</v>
      </c>
    </row>
    <row r="36" spans="1:2">
      <c r="A36" s="23" t="s">
        <v>61</v>
      </c>
      <c r="B36" s="25">
        <v>55</v>
      </c>
    </row>
    <row r="37" spans="1:2">
      <c r="A37" s="23" t="s">
        <v>1146</v>
      </c>
      <c r="B37" s="25">
        <v>54</v>
      </c>
    </row>
    <row r="38" spans="1:2">
      <c r="A38" s="23" t="s">
        <v>86</v>
      </c>
      <c r="B38" s="25">
        <v>54</v>
      </c>
    </row>
    <row r="39" spans="1:2">
      <c r="A39" s="23" t="s">
        <v>126</v>
      </c>
      <c r="B39" s="25">
        <v>54</v>
      </c>
    </row>
    <row r="40" spans="1:2">
      <c r="A40" s="23" t="s">
        <v>168</v>
      </c>
      <c r="B40" s="25">
        <v>54</v>
      </c>
    </row>
    <row r="41" spans="1:2">
      <c r="A41" s="23" t="s">
        <v>1147</v>
      </c>
      <c r="B41" s="25">
        <v>54</v>
      </c>
    </row>
    <row r="42" spans="1:2">
      <c r="A42" s="23" t="s">
        <v>1148</v>
      </c>
      <c r="B42" s="25">
        <v>53</v>
      </c>
    </row>
    <row r="43" spans="1:2">
      <c r="A43" s="23" t="s">
        <v>1149</v>
      </c>
      <c r="B43" s="25">
        <v>53</v>
      </c>
    </row>
    <row r="44" spans="1:2">
      <c r="A44" s="23" t="s">
        <v>1150</v>
      </c>
      <c r="B44" s="25">
        <v>53</v>
      </c>
    </row>
    <row r="45" spans="1:2">
      <c r="A45" s="23" t="s">
        <v>1151</v>
      </c>
      <c r="B45" s="25">
        <v>53</v>
      </c>
    </row>
    <row r="46" spans="1:2">
      <c r="A46" s="23" t="s">
        <v>1152</v>
      </c>
      <c r="B46" s="25">
        <v>52</v>
      </c>
    </row>
    <row r="47" spans="1:2">
      <c r="A47" s="23" t="s">
        <v>73</v>
      </c>
      <c r="B47" s="25">
        <v>52</v>
      </c>
    </row>
    <row r="48" spans="1:2">
      <c r="A48" s="23" t="s">
        <v>1153</v>
      </c>
      <c r="B48" s="25">
        <v>52</v>
      </c>
    </row>
    <row r="49" spans="1:2">
      <c r="A49" s="23" t="s">
        <v>1154</v>
      </c>
      <c r="B49" s="25">
        <v>52</v>
      </c>
    </row>
    <row r="50" spans="1:2">
      <c r="A50" s="23" t="s">
        <v>1155</v>
      </c>
      <c r="B50" s="25">
        <v>52</v>
      </c>
    </row>
    <row r="51" spans="1:2">
      <c r="A51" s="23" t="s">
        <v>1156</v>
      </c>
      <c r="B51" s="25">
        <v>52</v>
      </c>
    </row>
    <row r="52" spans="1:2">
      <c r="A52" s="23" t="s">
        <v>98</v>
      </c>
      <c r="B52" s="25">
        <v>52</v>
      </c>
    </row>
    <row r="53" spans="1:2">
      <c r="A53" s="23" t="s">
        <v>1157</v>
      </c>
      <c r="B53" s="25">
        <v>52</v>
      </c>
    </row>
    <row r="54" spans="1:2">
      <c r="A54" s="23" t="s">
        <v>1158</v>
      </c>
      <c r="B54" s="25">
        <v>51</v>
      </c>
    </row>
    <row r="55" spans="1:2">
      <c r="A55" s="23" t="s">
        <v>1159</v>
      </c>
      <c r="B55" s="25">
        <v>51</v>
      </c>
    </row>
    <row r="56" spans="1:2">
      <c r="A56" s="23" t="s">
        <v>1160</v>
      </c>
      <c r="B56" s="25">
        <v>51</v>
      </c>
    </row>
    <row r="57" spans="1:2">
      <c r="A57" s="23" t="s">
        <v>180</v>
      </c>
      <c r="B57" s="25">
        <v>51</v>
      </c>
    </row>
    <row r="58" spans="1:2">
      <c r="A58" s="23" t="s">
        <v>157</v>
      </c>
      <c r="B58" s="25">
        <v>51</v>
      </c>
    </row>
    <row r="59" spans="1:2">
      <c r="A59" s="23" t="s">
        <v>1161</v>
      </c>
      <c r="B59" s="25">
        <v>50</v>
      </c>
    </row>
    <row r="60" spans="1:2">
      <c r="A60" s="23" t="s">
        <v>1162</v>
      </c>
      <c r="B60" s="25">
        <v>50</v>
      </c>
    </row>
    <row r="61" spans="1:2">
      <c r="A61" s="23" t="s">
        <v>36</v>
      </c>
      <c r="B61" s="25">
        <v>50</v>
      </c>
    </row>
    <row r="62" spans="1:2">
      <c r="A62" s="23" t="s">
        <v>196</v>
      </c>
      <c r="B62" s="25">
        <v>50</v>
      </c>
    </row>
    <row r="63" spans="1:2">
      <c r="A63" s="23" t="s">
        <v>1163</v>
      </c>
      <c r="B63" s="25">
        <v>50</v>
      </c>
    </row>
    <row r="64" spans="1:2">
      <c r="A64" s="23" t="s">
        <v>1164</v>
      </c>
      <c r="B64" s="25">
        <v>50</v>
      </c>
    </row>
    <row r="65" spans="1:2">
      <c r="A65" s="23" t="s">
        <v>1165</v>
      </c>
      <c r="B65" s="25">
        <v>49</v>
      </c>
    </row>
    <row r="66" spans="1:2">
      <c r="A66" s="23" t="s">
        <v>1166</v>
      </c>
      <c r="B66" s="25">
        <v>49</v>
      </c>
    </row>
    <row r="67" spans="1:2">
      <c r="A67" s="23" t="s">
        <v>1167</v>
      </c>
      <c r="B67" s="25">
        <v>49</v>
      </c>
    </row>
    <row r="68" spans="1:2">
      <c r="A68" s="23" t="s">
        <v>1168</v>
      </c>
      <c r="B68" s="25">
        <v>49</v>
      </c>
    </row>
    <row r="69" spans="1:2">
      <c r="A69" s="23" t="s">
        <v>1169</v>
      </c>
      <c r="B69" s="25">
        <v>49</v>
      </c>
    </row>
    <row r="70" spans="1:2">
      <c r="A70" s="23" t="s">
        <v>1170</v>
      </c>
      <c r="B70" s="25">
        <v>48</v>
      </c>
    </row>
    <row r="71" spans="1:2">
      <c r="A71" s="23" t="s">
        <v>1171</v>
      </c>
      <c r="B71" s="25">
        <v>48</v>
      </c>
    </row>
    <row r="72" spans="1:2">
      <c r="A72" s="23" t="s">
        <v>1172</v>
      </c>
      <c r="B72" s="25">
        <v>48</v>
      </c>
    </row>
    <row r="73" spans="1:2">
      <c r="A73" s="23" t="s">
        <v>1173</v>
      </c>
      <c r="B73" s="25">
        <v>48</v>
      </c>
    </row>
    <row r="74" spans="1:2">
      <c r="A74" s="23" t="s">
        <v>1174</v>
      </c>
      <c r="B74" s="25">
        <v>48</v>
      </c>
    </row>
    <row r="75" spans="1:2">
      <c r="A75" s="23" t="s">
        <v>1175</v>
      </c>
      <c r="B75" s="25">
        <v>48</v>
      </c>
    </row>
    <row r="76" spans="1:2">
      <c r="A76" s="23" t="s">
        <v>1176</v>
      </c>
      <c r="B76" s="25">
        <v>48</v>
      </c>
    </row>
    <row r="77" spans="1:2">
      <c r="A77" s="23" t="s">
        <v>27</v>
      </c>
      <c r="B77" s="25">
        <v>48</v>
      </c>
    </row>
    <row r="78" spans="1:2">
      <c r="A78" s="23" t="s">
        <v>1177</v>
      </c>
      <c r="B78" s="25">
        <v>48</v>
      </c>
    </row>
    <row r="79" spans="1:2">
      <c r="A79" s="23" t="s">
        <v>1178</v>
      </c>
      <c r="B79" s="25">
        <v>47</v>
      </c>
    </row>
    <row r="80" spans="1:2">
      <c r="A80" s="23" t="s">
        <v>1179</v>
      </c>
      <c r="B80" s="25">
        <v>47</v>
      </c>
    </row>
    <row r="81" spans="1:2">
      <c r="A81" s="23" t="s">
        <v>1180</v>
      </c>
      <c r="B81" s="25">
        <v>47</v>
      </c>
    </row>
    <row r="82" spans="1:2">
      <c r="A82" s="23" t="s">
        <v>1181</v>
      </c>
      <c r="B82" s="25">
        <v>47</v>
      </c>
    </row>
    <row r="83" spans="1:2">
      <c r="A83" s="23" t="s">
        <v>1182</v>
      </c>
      <c r="B83" s="25">
        <v>47</v>
      </c>
    </row>
    <row r="84" spans="1:2">
      <c r="A84" s="23" t="s">
        <v>1183</v>
      </c>
      <c r="B84" s="25">
        <v>47</v>
      </c>
    </row>
    <row r="85" spans="1:2">
      <c r="A85" s="23" t="s">
        <v>1184</v>
      </c>
      <c r="B85" s="25">
        <v>47</v>
      </c>
    </row>
    <row r="86" spans="1:2">
      <c r="A86" s="23" t="s">
        <v>1185</v>
      </c>
      <c r="B86" s="25">
        <v>47</v>
      </c>
    </row>
    <row r="87" spans="1:2">
      <c r="A87" s="23" t="s">
        <v>1186</v>
      </c>
      <c r="B87" s="25">
        <v>47</v>
      </c>
    </row>
    <row r="88" spans="1:2">
      <c r="A88" s="23" t="s">
        <v>1187</v>
      </c>
      <c r="B88" s="25">
        <v>47</v>
      </c>
    </row>
    <row r="89" spans="1:2">
      <c r="A89" s="23" t="s">
        <v>1188</v>
      </c>
      <c r="B89" s="25">
        <v>47</v>
      </c>
    </row>
    <row r="90" spans="1:2">
      <c r="A90" s="23" t="s">
        <v>1189</v>
      </c>
      <c r="B90" s="25">
        <v>47</v>
      </c>
    </row>
    <row r="91" spans="1:2">
      <c r="A91" s="23" t="s">
        <v>1190</v>
      </c>
      <c r="B91" s="25">
        <v>47</v>
      </c>
    </row>
    <row r="92" spans="1:2">
      <c r="A92" s="23" t="s">
        <v>1191</v>
      </c>
      <c r="B92" s="25">
        <v>47</v>
      </c>
    </row>
    <row r="93" spans="1:2">
      <c r="A93" s="23" t="s">
        <v>200</v>
      </c>
      <c r="B93" s="25">
        <v>47</v>
      </c>
    </row>
    <row r="94" spans="1:2">
      <c r="A94" s="23" t="s">
        <v>1192</v>
      </c>
      <c r="B94" s="25">
        <v>47</v>
      </c>
    </row>
    <row r="95" spans="1:2">
      <c r="A95" s="23" t="s">
        <v>1193</v>
      </c>
      <c r="B95" s="25">
        <v>46</v>
      </c>
    </row>
    <row r="96" spans="1:2">
      <c r="A96" s="23" t="s">
        <v>1194</v>
      </c>
      <c r="B96" s="25">
        <v>46</v>
      </c>
    </row>
    <row r="97" spans="1:2">
      <c r="A97" s="23" t="s">
        <v>1195</v>
      </c>
      <c r="B97" s="25">
        <v>46</v>
      </c>
    </row>
    <row r="98" spans="1:2">
      <c r="A98" s="23" t="s">
        <v>1196</v>
      </c>
      <c r="B98" s="25">
        <v>46</v>
      </c>
    </row>
    <row r="99" spans="1:2">
      <c r="A99" s="23" t="s">
        <v>1197</v>
      </c>
      <c r="B99" s="25">
        <v>46</v>
      </c>
    </row>
    <row r="100" spans="1:2">
      <c r="A100" s="23" t="s">
        <v>1198</v>
      </c>
      <c r="B100" s="25">
        <v>45</v>
      </c>
    </row>
    <row r="101" spans="1:2">
      <c r="A101" s="23" t="s">
        <v>1199</v>
      </c>
      <c r="B101" s="25">
        <v>45</v>
      </c>
    </row>
    <row r="102" spans="1:2">
      <c r="A102" s="23" t="s">
        <v>1200</v>
      </c>
      <c r="B102" s="25">
        <v>45</v>
      </c>
    </row>
    <row r="103" spans="1:2">
      <c r="A103" s="23" t="s">
        <v>1201</v>
      </c>
      <c r="B103" s="25">
        <v>45</v>
      </c>
    </row>
    <row r="104" spans="1:2">
      <c r="A104" s="23" t="s">
        <v>49</v>
      </c>
      <c r="B104" s="25">
        <v>45</v>
      </c>
    </row>
    <row r="105" spans="1:2">
      <c r="A105" s="23" t="s">
        <v>1202</v>
      </c>
      <c r="B105" s="25">
        <v>45</v>
      </c>
    </row>
    <row r="106" spans="1:2">
      <c r="A106" s="23" t="s">
        <v>1203</v>
      </c>
      <c r="B106" s="25">
        <v>45</v>
      </c>
    </row>
    <row r="107" spans="1:2">
      <c r="A107" s="23" t="s">
        <v>1204</v>
      </c>
      <c r="B107" s="25">
        <v>45</v>
      </c>
    </row>
    <row r="108" spans="1:2">
      <c r="A108" s="23" t="s">
        <v>1205</v>
      </c>
      <c r="B108" s="25">
        <v>45</v>
      </c>
    </row>
    <row r="109" spans="1:2">
      <c r="A109" s="23" t="s">
        <v>1206</v>
      </c>
      <c r="B109" s="25">
        <v>45</v>
      </c>
    </row>
    <row r="110" spans="1:2">
      <c r="A110" s="23" t="s">
        <v>1207</v>
      </c>
      <c r="B110" s="25">
        <v>45</v>
      </c>
    </row>
    <row r="111" spans="1:2">
      <c r="A111" s="23" t="s">
        <v>1208</v>
      </c>
      <c r="B111" s="25">
        <v>45</v>
      </c>
    </row>
    <row r="112" spans="1:2">
      <c r="A112" s="23" t="s">
        <v>22</v>
      </c>
      <c r="B112" s="25">
        <v>45</v>
      </c>
    </row>
    <row r="113" spans="1:2">
      <c r="A113" s="23" t="s">
        <v>1209</v>
      </c>
      <c r="B113" s="25">
        <v>44</v>
      </c>
    </row>
    <row r="114" spans="1:2">
      <c r="A114" s="23" t="s">
        <v>1210</v>
      </c>
      <c r="B114" s="25">
        <v>44</v>
      </c>
    </row>
    <row r="115" spans="1:2">
      <c r="A115" s="23" t="s">
        <v>1211</v>
      </c>
      <c r="B115" s="25">
        <v>44</v>
      </c>
    </row>
    <row r="116" spans="1:2">
      <c r="A116" s="23" t="s">
        <v>1212</v>
      </c>
      <c r="B116" s="25">
        <v>44</v>
      </c>
    </row>
    <row r="117" spans="1:2">
      <c r="A117" s="23" t="s">
        <v>1213</v>
      </c>
      <c r="B117" s="25">
        <v>44</v>
      </c>
    </row>
    <row r="118" spans="1:2">
      <c r="A118" s="23" t="s">
        <v>1214</v>
      </c>
      <c r="B118" s="25">
        <v>44</v>
      </c>
    </row>
    <row r="119" spans="1:2">
      <c r="A119" s="23" t="s">
        <v>1215</v>
      </c>
      <c r="B119" s="25">
        <v>44</v>
      </c>
    </row>
    <row r="120" spans="1:2">
      <c r="A120" s="23" t="s">
        <v>1216</v>
      </c>
      <c r="B120" s="25">
        <v>44</v>
      </c>
    </row>
    <row r="121" spans="1:2">
      <c r="A121" s="23" t="s">
        <v>67</v>
      </c>
      <c r="B121" s="25">
        <v>43</v>
      </c>
    </row>
    <row r="122" spans="1:2">
      <c r="A122" s="23" t="s">
        <v>1217</v>
      </c>
      <c r="B122" s="25">
        <v>43</v>
      </c>
    </row>
    <row r="123" spans="1:2">
      <c r="A123" s="23" t="s">
        <v>1218</v>
      </c>
      <c r="B123" s="25">
        <v>43</v>
      </c>
    </row>
    <row r="124" spans="1:2">
      <c r="A124" s="23" t="s">
        <v>32</v>
      </c>
      <c r="B124" s="25">
        <v>43</v>
      </c>
    </row>
    <row r="125" spans="1:2">
      <c r="A125" s="23" t="s">
        <v>39</v>
      </c>
      <c r="B125" s="25">
        <v>43</v>
      </c>
    </row>
    <row r="126" spans="1:2">
      <c r="A126" s="23" t="s">
        <v>1219</v>
      </c>
      <c r="B126" s="25">
        <v>43</v>
      </c>
    </row>
    <row r="127" spans="1:2">
      <c r="A127" s="23" t="s">
        <v>1220</v>
      </c>
      <c r="B127" s="25">
        <v>43</v>
      </c>
    </row>
    <row r="128" spans="1:2">
      <c r="A128" s="23" t="s">
        <v>1221</v>
      </c>
      <c r="B128" s="25">
        <v>43</v>
      </c>
    </row>
    <row r="129" spans="1:2">
      <c r="A129" s="23" t="s">
        <v>1222</v>
      </c>
      <c r="B129" s="25">
        <v>43</v>
      </c>
    </row>
    <row r="130" spans="1:2">
      <c r="A130" s="23" t="s">
        <v>64</v>
      </c>
      <c r="B130" s="25">
        <v>42</v>
      </c>
    </row>
    <row r="131" spans="1:2">
      <c r="A131" s="23" t="s">
        <v>70</v>
      </c>
      <c r="B131" s="25">
        <v>42</v>
      </c>
    </row>
    <row r="132" spans="1:2">
      <c r="A132" s="23" t="s">
        <v>1223</v>
      </c>
      <c r="B132" s="25">
        <v>42</v>
      </c>
    </row>
    <row r="133" spans="1:2">
      <c r="A133" s="23" t="s">
        <v>1224</v>
      </c>
      <c r="B133" s="25">
        <v>42</v>
      </c>
    </row>
    <row r="134" spans="1:2">
      <c r="A134" s="23" t="s">
        <v>1225</v>
      </c>
      <c r="B134" s="25">
        <v>42</v>
      </c>
    </row>
    <row r="135" spans="1:2">
      <c r="A135" s="23" t="s">
        <v>1226</v>
      </c>
      <c r="B135" s="25">
        <v>42</v>
      </c>
    </row>
    <row r="136" spans="1:2">
      <c r="A136" s="23" t="s">
        <v>1227</v>
      </c>
      <c r="B136" s="25">
        <v>42</v>
      </c>
    </row>
    <row r="137" spans="1:2">
      <c r="A137" s="23" t="s">
        <v>1228</v>
      </c>
      <c r="B137" s="25">
        <v>42</v>
      </c>
    </row>
    <row r="138" spans="1:2">
      <c r="A138" s="23" t="s">
        <v>1229</v>
      </c>
      <c r="B138" s="25">
        <v>41</v>
      </c>
    </row>
    <row r="139" spans="1:2">
      <c r="A139" s="23" t="s">
        <v>1230</v>
      </c>
      <c r="B139" s="25">
        <v>41</v>
      </c>
    </row>
    <row r="140" spans="1:2">
      <c r="A140" s="23" t="s">
        <v>1231</v>
      </c>
      <c r="B140" s="25">
        <v>41</v>
      </c>
    </row>
    <row r="141" spans="1:2">
      <c r="A141" s="23" t="s">
        <v>1232</v>
      </c>
      <c r="B141" s="25">
        <v>41</v>
      </c>
    </row>
    <row r="142" spans="1:2">
      <c r="A142" s="23" t="s">
        <v>1233</v>
      </c>
      <c r="B142" s="25">
        <v>41</v>
      </c>
    </row>
    <row r="143" spans="1:2">
      <c r="A143" s="23" t="s">
        <v>1234</v>
      </c>
      <c r="B143" s="25">
        <v>41</v>
      </c>
    </row>
    <row r="144" spans="1:2">
      <c r="A144" s="23" t="s">
        <v>1235</v>
      </c>
      <c r="B144" s="25">
        <v>41</v>
      </c>
    </row>
    <row r="145" spans="1:2">
      <c r="A145" s="23" t="s">
        <v>1236</v>
      </c>
      <c r="B145" s="25">
        <v>41</v>
      </c>
    </row>
    <row r="146" spans="1:2">
      <c r="A146" s="23" t="s">
        <v>1237</v>
      </c>
      <c r="B146" s="25">
        <v>40</v>
      </c>
    </row>
    <row r="147" spans="1:2">
      <c r="A147" s="23" t="s">
        <v>1238</v>
      </c>
      <c r="B147" s="25">
        <v>40</v>
      </c>
    </row>
    <row r="148" spans="1:2">
      <c r="A148" s="23" t="s">
        <v>1239</v>
      </c>
      <c r="B148" s="25">
        <v>40</v>
      </c>
    </row>
    <row r="149" spans="1:2">
      <c r="A149" s="23" t="s">
        <v>1240</v>
      </c>
      <c r="B149" s="25">
        <v>40</v>
      </c>
    </row>
    <row r="150" spans="1:2">
      <c r="A150" s="23" t="s">
        <v>55</v>
      </c>
      <c r="B150" s="25">
        <v>40</v>
      </c>
    </row>
    <row r="151" spans="1:2">
      <c r="A151" s="23" t="s">
        <v>1241</v>
      </c>
      <c r="B151" s="25">
        <v>39</v>
      </c>
    </row>
    <row r="152" spans="1:2">
      <c r="A152" s="23" t="s">
        <v>1242</v>
      </c>
      <c r="B152" s="25">
        <v>39</v>
      </c>
    </row>
    <row r="153" spans="1:2">
      <c r="A153" s="23" t="s">
        <v>1243</v>
      </c>
      <c r="B153" s="25">
        <v>39</v>
      </c>
    </row>
    <row r="154" spans="1:2">
      <c r="A154" s="23" t="s">
        <v>1244</v>
      </c>
      <c r="B154" s="25">
        <v>39</v>
      </c>
    </row>
    <row r="155" spans="1:2">
      <c r="A155" s="23" t="s">
        <v>1245</v>
      </c>
      <c r="B155" s="25">
        <v>39</v>
      </c>
    </row>
    <row r="156" spans="1:2">
      <c r="A156" s="23" t="s">
        <v>1246</v>
      </c>
      <c r="B156" s="25">
        <v>39</v>
      </c>
    </row>
    <row r="157" spans="1:2">
      <c r="A157" s="23" t="s">
        <v>1247</v>
      </c>
      <c r="B157" s="25">
        <v>38</v>
      </c>
    </row>
    <row r="158" spans="1:2">
      <c r="A158" s="23" t="s">
        <v>1248</v>
      </c>
      <c r="B158" s="25">
        <v>38</v>
      </c>
    </row>
    <row r="159" spans="1:2">
      <c r="A159" s="23" t="s">
        <v>1249</v>
      </c>
      <c r="B159" s="25">
        <v>38</v>
      </c>
    </row>
    <row r="160" spans="1:2">
      <c r="A160" s="23" t="s">
        <v>1250</v>
      </c>
      <c r="B160" s="25">
        <v>38</v>
      </c>
    </row>
    <row r="161" spans="1:2">
      <c r="A161" s="23" t="s">
        <v>1251</v>
      </c>
      <c r="B161" s="25">
        <v>38</v>
      </c>
    </row>
    <row r="162" spans="1:2">
      <c r="A162" s="23" t="s">
        <v>42</v>
      </c>
      <c r="B162" s="25">
        <v>38</v>
      </c>
    </row>
    <row r="163" spans="1:2">
      <c r="A163" s="23" t="s">
        <v>1252</v>
      </c>
      <c r="B163" s="25">
        <v>38</v>
      </c>
    </row>
    <row r="164" spans="1:2">
      <c r="A164" s="23" t="s">
        <v>1253</v>
      </c>
      <c r="B164" s="25">
        <v>38</v>
      </c>
    </row>
    <row r="165" spans="1:2">
      <c r="A165" s="23" t="s">
        <v>1254</v>
      </c>
      <c r="B165" s="25">
        <v>38</v>
      </c>
    </row>
    <row r="166" spans="1:2">
      <c r="A166" s="23" t="s">
        <v>1255</v>
      </c>
      <c r="B166" s="25">
        <v>38</v>
      </c>
    </row>
    <row r="167" spans="1:2">
      <c r="A167" s="23" t="s">
        <v>52</v>
      </c>
      <c r="B167" s="25">
        <v>37</v>
      </c>
    </row>
    <row r="168" spans="1:2">
      <c r="A168" s="23" t="s">
        <v>1256</v>
      </c>
      <c r="B168" s="25">
        <v>37</v>
      </c>
    </row>
    <row r="169" spans="1:2">
      <c r="A169" s="23" t="s">
        <v>1257</v>
      </c>
      <c r="B169" s="25">
        <v>36</v>
      </c>
    </row>
    <row r="170" spans="1:2">
      <c r="A170" s="23" t="s">
        <v>1258</v>
      </c>
      <c r="B170" s="25">
        <v>36</v>
      </c>
    </row>
    <row r="171" spans="1:2">
      <c r="A171" s="23" t="s">
        <v>1259</v>
      </c>
      <c r="B171" s="25">
        <v>36</v>
      </c>
    </row>
    <row r="172" spans="1:2">
      <c r="A172" s="23" t="s">
        <v>1260</v>
      </c>
      <c r="B172" s="25">
        <v>36</v>
      </c>
    </row>
    <row r="173" spans="1:2">
      <c r="A173" s="23" t="s">
        <v>1261</v>
      </c>
      <c r="B173" s="25">
        <v>36</v>
      </c>
    </row>
    <row r="174" spans="1:2">
      <c r="A174" s="23" t="s">
        <v>1262</v>
      </c>
      <c r="B174" s="25">
        <v>35</v>
      </c>
    </row>
    <row r="175" spans="1:2">
      <c r="A175" s="23" t="s">
        <v>1263</v>
      </c>
      <c r="B175" s="25">
        <v>35</v>
      </c>
    </row>
    <row r="176" spans="1:2">
      <c r="A176" s="23" t="s">
        <v>1264</v>
      </c>
      <c r="B176" s="25">
        <v>35</v>
      </c>
    </row>
    <row r="177" spans="1:2">
      <c r="A177" s="23" t="s">
        <v>1265</v>
      </c>
      <c r="B177" s="25">
        <v>35</v>
      </c>
    </row>
    <row r="178" spans="1:2">
      <c r="A178" s="23" t="s">
        <v>1266</v>
      </c>
      <c r="B178" s="25">
        <v>35</v>
      </c>
    </row>
    <row r="179" spans="1:2">
      <c r="A179" s="23" t="s">
        <v>1267</v>
      </c>
      <c r="B179" s="25">
        <v>35</v>
      </c>
    </row>
    <row r="180" spans="1:2">
      <c r="A180" s="23" t="s">
        <v>58</v>
      </c>
      <c r="B180" s="25">
        <v>35</v>
      </c>
    </row>
    <row r="181" spans="1:2">
      <c r="A181" s="23" t="s">
        <v>1268</v>
      </c>
      <c r="B181" s="25">
        <v>35</v>
      </c>
    </row>
    <row r="182" spans="1:2">
      <c r="A182" s="23" t="s">
        <v>1269</v>
      </c>
      <c r="B182" s="25">
        <v>34</v>
      </c>
    </row>
    <row r="183" spans="1:2">
      <c r="A183" s="23" t="s">
        <v>1270</v>
      </c>
      <c r="B183" s="25">
        <v>34</v>
      </c>
    </row>
    <row r="184" spans="1:2">
      <c r="A184" s="23" t="s">
        <v>1271</v>
      </c>
      <c r="B184" s="25">
        <v>34</v>
      </c>
    </row>
    <row r="185" spans="1:2">
      <c r="A185" s="23" t="s">
        <v>1272</v>
      </c>
      <c r="B185" s="25">
        <v>34</v>
      </c>
    </row>
    <row r="186" spans="1:2">
      <c r="A186" s="23" t="s">
        <v>1273</v>
      </c>
      <c r="B186" s="25">
        <v>33</v>
      </c>
    </row>
    <row r="187" spans="1:2">
      <c r="A187" s="23" t="s">
        <v>1274</v>
      </c>
      <c r="B187" s="25">
        <v>33</v>
      </c>
    </row>
    <row r="188" spans="1:2">
      <c r="A188" s="23" t="s">
        <v>1275</v>
      </c>
      <c r="B188" s="25">
        <v>33</v>
      </c>
    </row>
    <row r="189" spans="1:2">
      <c r="A189" s="23" t="s">
        <v>1276</v>
      </c>
      <c r="B189" s="25">
        <v>33</v>
      </c>
    </row>
    <row r="190" spans="1:2">
      <c r="A190" s="23" t="s">
        <v>687</v>
      </c>
      <c r="B190" s="25">
        <v>33</v>
      </c>
    </row>
    <row r="191" spans="1:2">
      <c r="A191" s="23" t="s">
        <v>1277</v>
      </c>
      <c r="B191" s="25">
        <v>33</v>
      </c>
    </row>
    <row r="192" spans="1:2">
      <c r="A192" s="23" t="s">
        <v>1278</v>
      </c>
      <c r="B192" s="25">
        <v>33</v>
      </c>
    </row>
    <row r="193" spans="1:2">
      <c r="A193" s="23" t="s">
        <v>1279</v>
      </c>
      <c r="B193" s="25">
        <v>32</v>
      </c>
    </row>
    <row r="194" spans="1:2">
      <c r="A194" s="23" t="s">
        <v>1280</v>
      </c>
      <c r="B194" s="25">
        <v>32</v>
      </c>
    </row>
    <row r="195" spans="1:2">
      <c r="A195" s="23" t="s">
        <v>1281</v>
      </c>
      <c r="B195" s="25">
        <v>32</v>
      </c>
    </row>
    <row r="196" spans="1:2">
      <c r="A196" s="23" t="s">
        <v>1282</v>
      </c>
      <c r="B196" s="25">
        <v>32</v>
      </c>
    </row>
    <row r="197" spans="1:2">
      <c r="A197" s="23" t="s">
        <v>1283</v>
      </c>
      <c r="B197" s="25">
        <v>31</v>
      </c>
    </row>
    <row r="198" spans="1:2">
      <c r="A198" s="23" t="s">
        <v>1284</v>
      </c>
      <c r="B198" s="25">
        <v>31</v>
      </c>
    </row>
    <row r="199" spans="1:2">
      <c r="A199" s="23" t="s">
        <v>1285</v>
      </c>
      <c r="B199" s="25">
        <v>31</v>
      </c>
    </row>
    <row r="200" spans="1:2">
      <c r="A200" s="23" t="s">
        <v>1286</v>
      </c>
      <c r="B200" s="25">
        <v>31</v>
      </c>
    </row>
    <row r="201" spans="1:2">
      <c r="A201" s="23" t="s">
        <v>1287</v>
      </c>
      <c r="B201" s="25">
        <v>30</v>
      </c>
    </row>
    <row r="202" spans="1:2">
      <c r="A202" s="23" t="s">
        <v>1288</v>
      </c>
      <c r="B202" s="25">
        <v>30</v>
      </c>
    </row>
    <row r="203" spans="1:2">
      <c r="A203" s="23" t="s">
        <v>1289</v>
      </c>
      <c r="B203" s="25">
        <v>30</v>
      </c>
    </row>
    <row r="204" spans="1:2">
      <c r="A204" s="23" t="s">
        <v>1290</v>
      </c>
      <c r="B204" s="25">
        <v>30</v>
      </c>
    </row>
    <row r="205" spans="1:2">
      <c r="A205" s="23" t="s">
        <v>1291</v>
      </c>
      <c r="B205" s="25">
        <v>29</v>
      </c>
    </row>
    <row r="206" spans="1:2">
      <c r="A206" s="23" t="s">
        <v>1292</v>
      </c>
      <c r="B206" s="25">
        <v>29</v>
      </c>
    </row>
    <row r="207" spans="1:2">
      <c r="A207" s="23" t="s">
        <v>1293</v>
      </c>
      <c r="B207" s="25">
        <v>29</v>
      </c>
    </row>
    <row r="208" spans="1:2">
      <c r="A208" s="23" t="s">
        <v>1294</v>
      </c>
      <c r="B208" s="25">
        <v>29</v>
      </c>
    </row>
    <row r="209" spans="1:2">
      <c r="A209" s="23" t="s">
        <v>1295</v>
      </c>
      <c r="B209" s="25">
        <v>28</v>
      </c>
    </row>
    <row r="210" spans="1:2">
      <c r="A210" s="23" t="s">
        <v>1296</v>
      </c>
      <c r="B210" s="25">
        <v>27</v>
      </c>
    </row>
    <row r="211" spans="1:2">
      <c r="A211" s="23" t="s">
        <v>1297</v>
      </c>
      <c r="B211" s="25">
        <v>26</v>
      </c>
    </row>
    <row r="212" spans="1:2">
      <c r="A212" s="28" t="s">
        <v>1298</v>
      </c>
      <c r="B212" s="18">
        <v>25</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EBE3C-0979-4661-A88D-4F6B41BD1CC5}">
  <sheetPr codeName="Sheet7"/>
  <dimension ref="A1:C125"/>
  <sheetViews>
    <sheetView workbookViewId="0">
      <selection activeCell="D4" sqref="D4"/>
    </sheetView>
  </sheetViews>
  <sheetFormatPr defaultRowHeight="14.45"/>
  <cols>
    <col min="1" max="1" width="25.42578125" bestFit="1" customWidth="1"/>
    <col min="2" max="2" width="16.42578125" bestFit="1" customWidth="1"/>
    <col min="3" max="3" width="32.42578125" bestFit="1" customWidth="1"/>
  </cols>
  <sheetData>
    <row r="1" spans="1:3">
      <c r="A1" s="14" t="s">
        <v>1299</v>
      </c>
      <c r="B1" s="31" t="s">
        <v>1300</v>
      </c>
      <c r="C1" s="15" t="s">
        <v>1301</v>
      </c>
    </row>
    <row r="2" spans="1:3">
      <c r="A2" s="23" t="s">
        <v>1302</v>
      </c>
      <c r="B2" s="17" t="s">
        <v>86</v>
      </c>
      <c r="C2" s="25" t="s">
        <v>1303</v>
      </c>
    </row>
    <row r="3" spans="1:3">
      <c r="A3" s="23" t="s">
        <v>1304</v>
      </c>
      <c r="B3" s="17" t="s">
        <v>86</v>
      </c>
      <c r="C3" s="25" t="s">
        <v>1305</v>
      </c>
    </row>
    <row r="4" spans="1:3">
      <c r="A4" s="23" t="s">
        <v>87</v>
      </c>
      <c r="B4" s="17" t="s">
        <v>86</v>
      </c>
      <c r="C4" s="25" t="s">
        <v>88</v>
      </c>
    </row>
    <row r="5" spans="1:3">
      <c r="A5" s="23" t="s">
        <v>1306</v>
      </c>
      <c r="B5" s="17" t="s">
        <v>982</v>
      </c>
      <c r="C5" s="25" t="s">
        <v>1307</v>
      </c>
    </row>
    <row r="6" spans="1:3">
      <c r="A6" s="23" t="s">
        <v>1308</v>
      </c>
      <c r="B6" s="17" t="s">
        <v>982</v>
      </c>
      <c r="C6" s="25" t="s">
        <v>1309</v>
      </c>
    </row>
    <row r="7" spans="1:3">
      <c r="A7" s="23" t="s">
        <v>1310</v>
      </c>
      <c r="B7" s="17" t="s">
        <v>90</v>
      </c>
      <c r="C7" s="25" t="s">
        <v>92</v>
      </c>
    </row>
    <row r="8" spans="1:3">
      <c r="A8" s="23" t="s">
        <v>91</v>
      </c>
      <c r="B8" s="17" t="s">
        <v>90</v>
      </c>
      <c r="C8" s="25" t="s">
        <v>92</v>
      </c>
    </row>
    <row r="9" spans="1:3">
      <c r="A9" s="23" t="s">
        <v>1311</v>
      </c>
      <c r="B9" s="17" t="s">
        <v>90</v>
      </c>
      <c r="C9" s="25" t="s">
        <v>1312</v>
      </c>
    </row>
    <row r="10" spans="1:3">
      <c r="A10" s="23" t="s">
        <v>1313</v>
      </c>
      <c r="B10" s="17" t="s">
        <v>90</v>
      </c>
      <c r="C10" s="25" t="s">
        <v>1314</v>
      </c>
    </row>
    <row r="11" spans="1:3">
      <c r="A11" s="23" t="s">
        <v>1315</v>
      </c>
      <c r="B11" s="17" t="s">
        <v>992</v>
      </c>
      <c r="C11" s="25" t="s">
        <v>1316</v>
      </c>
    </row>
    <row r="12" spans="1:3">
      <c r="A12" s="23" t="s">
        <v>1317</v>
      </c>
      <c r="B12" s="17" t="s">
        <v>992</v>
      </c>
      <c r="C12" s="25" t="s">
        <v>1318</v>
      </c>
    </row>
    <row r="13" spans="1:3">
      <c r="A13" s="23" t="s">
        <v>1319</v>
      </c>
      <c r="B13" s="17" t="s">
        <v>1320</v>
      </c>
      <c r="C13" s="25" t="s">
        <v>1321</v>
      </c>
    </row>
    <row r="14" spans="1:3">
      <c r="A14" s="23" t="s">
        <v>1322</v>
      </c>
      <c r="B14" s="17" t="s">
        <v>98</v>
      </c>
      <c r="C14" s="25" t="s">
        <v>1323</v>
      </c>
    </row>
    <row r="15" spans="1:3">
      <c r="A15" s="23" t="s">
        <v>99</v>
      </c>
      <c r="B15" s="17" t="s">
        <v>98</v>
      </c>
      <c r="C15" s="25" t="s">
        <v>100</v>
      </c>
    </row>
    <row r="16" spans="1:3">
      <c r="A16" s="23" t="s">
        <v>1324</v>
      </c>
      <c r="B16" s="17" t="s">
        <v>102</v>
      </c>
      <c r="C16" s="25" t="s">
        <v>1325</v>
      </c>
    </row>
    <row r="17" spans="1:3">
      <c r="A17" s="23" t="s">
        <v>1326</v>
      </c>
      <c r="B17" s="17" t="s">
        <v>102</v>
      </c>
      <c r="C17" s="25" t="s">
        <v>104</v>
      </c>
    </row>
    <row r="18" spans="1:3">
      <c r="A18" s="23" t="s">
        <v>103</v>
      </c>
      <c r="B18" s="17" t="s">
        <v>102</v>
      </c>
      <c r="C18" s="25" t="s">
        <v>104</v>
      </c>
    </row>
    <row r="19" spans="1:3">
      <c r="A19" s="23" t="s">
        <v>1327</v>
      </c>
      <c r="B19" s="17" t="s">
        <v>102</v>
      </c>
      <c r="C19" s="25" t="s">
        <v>1328</v>
      </c>
    </row>
    <row r="20" spans="1:3">
      <c r="A20" s="23" t="s">
        <v>1329</v>
      </c>
      <c r="B20" s="17" t="s">
        <v>102</v>
      </c>
      <c r="C20" s="25" t="s">
        <v>1330</v>
      </c>
    </row>
    <row r="21" spans="1:3">
      <c r="A21" s="23" t="s">
        <v>1331</v>
      </c>
      <c r="B21" s="17" t="s">
        <v>32</v>
      </c>
      <c r="C21" s="25" t="s">
        <v>1332</v>
      </c>
    </row>
    <row r="22" spans="1:3">
      <c r="A22" s="23" t="s">
        <v>1333</v>
      </c>
      <c r="B22" s="17" t="s">
        <v>32</v>
      </c>
      <c r="C22" s="25" t="s">
        <v>1334</v>
      </c>
    </row>
    <row r="23" spans="1:3">
      <c r="A23" s="23" t="s">
        <v>1335</v>
      </c>
      <c r="B23" s="17" t="s">
        <v>106</v>
      </c>
      <c r="C23" s="25" t="s">
        <v>1336</v>
      </c>
    </row>
    <row r="24" spans="1:3">
      <c r="A24" s="23" t="s">
        <v>107</v>
      </c>
      <c r="B24" s="17" t="s">
        <v>106</v>
      </c>
      <c r="C24" s="25" t="s">
        <v>108</v>
      </c>
    </row>
    <row r="25" spans="1:3">
      <c r="A25" s="23" t="s">
        <v>1337</v>
      </c>
      <c r="B25" s="17" t="s">
        <v>106</v>
      </c>
      <c r="C25" s="25" t="s">
        <v>1338</v>
      </c>
    </row>
    <row r="26" spans="1:3">
      <c r="A26" s="23" t="s">
        <v>1339</v>
      </c>
      <c r="B26" s="17" t="s">
        <v>36</v>
      </c>
      <c r="C26" s="25" t="s">
        <v>37</v>
      </c>
    </row>
    <row r="27" spans="1:3">
      <c r="A27" s="23" t="s">
        <v>1340</v>
      </c>
      <c r="B27" s="17" t="s">
        <v>110</v>
      </c>
      <c r="C27" s="25" t="s">
        <v>1341</v>
      </c>
    </row>
    <row r="28" spans="1:3">
      <c r="A28" s="23" t="s">
        <v>111</v>
      </c>
      <c r="B28" s="17" t="s">
        <v>110</v>
      </c>
      <c r="C28" s="25" t="s">
        <v>112</v>
      </c>
    </row>
    <row r="29" spans="1:3">
      <c r="A29" s="23" t="s">
        <v>1342</v>
      </c>
      <c r="B29" s="17" t="s">
        <v>110</v>
      </c>
      <c r="C29" s="25" t="s">
        <v>112</v>
      </c>
    </row>
    <row r="30" spans="1:3">
      <c r="A30" s="23" t="s">
        <v>1343</v>
      </c>
      <c r="B30" s="17" t="s">
        <v>110</v>
      </c>
      <c r="C30" s="25" t="s">
        <v>1344</v>
      </c>
    </row>
    <row r="31" spans="1:3">
      <c r="A31" s="23" t="s">
        <v>1345</v>
      </c>
      <c r="B31" s="17" t="s">
        <v>114</v>
      </c>
      <c r="C31" s="25" t="s">
        <v>116</v>
      </c>
    </row>
    <row r="32" spans="1:3">
      <c r="A32" s="23" t="s">
        <v>1346</v>
      </c>
      <c r="B32" s="17" t="s">
        <v>114</v>
      </c>
      <c r="C32" s="25" t="s">
        <v>1347</v>
      </c>
    </row>
    <row r="33" spans="1:3">
      <c r="A33" s="23" t="s">
        <v>1348</v>
      </c>
      <c r="B33" s="17" t="s">
        <v>114</v>
      </c>
      <c r="C33" s="25" t="s">
        <v>1349</v>
      </c>
    </row>
    <row r="34" spans="1:3">
      <c r="A34" s="23" t="s">
        <v>115</v>
      </c>
      <c r="B34" s="17" t="s">
        <v>114</v>
      </c>
      <c r="C34" s="25" t="s">
        <v>116</v>
      </c>
    </row>
    <row r="35" spans="1:3">
      <c r="A35" s="23" t="s">
        <v>1350</v>
      </c>
      <c r="B35" s="17" t="s">
        <v>118</v>
      </c>
      <c r="C35" s="25" t="s">
        <v>1351</v>
      </c>
    </row>
    <row r="36" spans="1:3">
      <c r="A36" s="23" t="s">
        <v>119</v>
      </c>
      <c r="B36" s="17" t="s">
        <v>118</v>
      </c>
      <c r="C36" s="25" t="s">
        <v>120</v>
      </c>
    </row>
    <row r="37" spans="1:3">
      <c r="A37" s="23" t="s">
        <v>1352</v>
      </c>
      <c r="B37" s="17" t="s">
        <v>118</v>
      </c>
      <c r="C37" s="25" t="s">
        <v>120</v>
      </c>
    </row>
    <row r="38" spans="1:3">
      <c r="A38" s="23" t="s">
        <v>1353</v>
      </c>
      <c r="B38" s="17" t="s">
        <v>118</v>
      </c>
      <c r="C38" s="25" t="s">
        <v>1354</v>
      </c>
    </row>
    <row r="39" spans="1:3">
      <c r="A39" s="23" t="s">
        <v>1355</v>
      </c>
      <c r="B39" s="17" t="s">
        <v>1356</v>
      </c>
      <c r="C39" s="25" t="s">
        <v>1357</v>
      </c>
    </row>
    <row r="40" spans="1:3">
      <c r="A40" s="23" t="s">
        <v>1358</v>
      </c>
      <c r="B40" s="17" t="s">
        <v>1359</v>
      </c>
      <c r="C40" s="25" t="s">
        <v>1360</v>
      </c>
    </row>
    <row r="41" spans="1:3">
      <c r="A41" s="23" t="s">
        <v>1361</v>
      </c>
      <c r="B41" s="17" t="s">
        <v>126</v>
      </c>
      <c r="C41" s="25" t="s">
        <v>1362</v>
      </c>
    </row>
    <row r="42" spans="1:3">
      <c r="A42" s="23" t="s">
        <v>127</v>
      </c>
      <c r="B42" s="17" t="s">
        <v>126</v>
      </c>
      <c r="C42" s="25" t="s">
        <v>128</v>
      </c>
    </row>
    <row r="43" spans="1:3">
      <c r="A43" s="23" t="s">
        <v>1363</v>
      </c>
      <c r="B43" s="17" t="s">
        <v>126</v>
      </c>
      <c r="C43" s="25" t="s">
        <v>1364</v>
      </c>
    </row>
    <row r="44" spans="1:3">
      <c r="A44" s="23" t="s">
        <v>131</v>
      </c>
      <c r="B44" s="17" t="s">
        <v>130</v>
      </c>
      <c r="C44" s="25" t="s">
        <v>132</v>
      </c>
    </row>
    <row r="45" spans="1:3">
      <c r="A45" s="23" t="s">
        <v>1365</v>
      </c>
      <c r="B45" s="17" t="s">
        <v>130</v>
      </c>
      <c r="C45" s="25" t="s">
        <v>1366</v>
      </c>
    </row>
    <row r="46" spans="1:3">
      <c r="A46" s="23" t="s">
        <v>1367</v>
      </c>
      <c r="B46" s="17" t="s">
        <v>39</v>
      </c>
      <c r="C46" s="25" t="s">
        <v>1368</v>
      </c>
    </row>
    <row r="47" spans="1:3">
      <c r="A47" s="23" t="s">
        <v>1369</v>
      </c>
      <c r="B47" s="17" t="s">
        <v>42</v>
      </c>
      <c r="C47" s="25" t="s">
        <v>1370</v>
      </c>
    </row>
    <row r="48" spans="1:3">
      <c r="A48" s="23" t="s">
        <v>1371</v>
      </c>
      <c r="B48" s="17" t="s">
        <v>42</v>
      </c>
      <c r="C48" s="25" t="s">
        <v>1372</v>
      </c>
    </row>
    <row r="49" spans="1:3">
      <c r="A49" s="23" t="s">
        <v>1373</v>
      </c>
      <c r="B49" s="17" t="s">
        <v>46</v>
      </c>
      <c r="C49" s="25" t="s">
        <v>1374</v>
      </c>
    </row>
    <row r="50" spans="1:3">
      <c r="A50" s="23" t="s">
        <v>1375</v>
      </c>
      <c r="B50" s="17" t="s">
        <v>46</v>
      </c>
      <c r="C50" s="25" t="s">
        <v>1376</v>
      </c>
    </row>
    <row r="51" spans="1:3">
      <c r="A51" s="23" t="s">
        <v>1377</v>
      </c>
      <c r="B51" s="17" t="s">
        <v>46</v>
      </c>
      <c r="C51" s="25" t="s">
        <v>47</v>
      </c>
    </row>
    <row r="52" spans="1:3">
      <c r="A52" s="23" t="s">
        <v>1378</v>
      </c>
      <c r="B52" s="17" t="s">
        <v>134</v>
      </c>
      <c r="C52" s="25" t="s">
        <v>1379</v>
      </c>
    </row>
    <row r="53" spans="1:3">
      <c r="A53" s="23" t="s">
        <v>1380</v>
      </c>
      <c r="B53" s="17" t="s">
        <v>134</v>
      </c>
      <c r="C53" s="25" t="s">
        <v>1381</v>
      </c>
    </row>
    <row r="54" spans="1:3">
      <c r="A54" s="23" t="s">
        <v>1382</v>
      </c>
      <c r="B54" s="17" t="s">
        <v>134</v>
      </c>
      <c r="C54" s="25" t="s">
        <v>1383</v>
      </c>
    </row>
    <row r="55" spans="1:3">
      <c r="A55" s="23" t="s">
        <v>135</v>
      </c>
      <c r="B55" s="17" t="s">
        <v>134</v>
      </c>
      <c r="C55" s="25" t="s">
        <v>136</v>
      </c>
    </row>
    <row r="56" spans="1:3">
      <c r="A56" s="23" t="s">
        <v>1384</v>
      </c>
      <c r="B56" s="17" t="s">
        <v>134</v>
      </c>
      <c r="C56" s="25" t="s">
        <v>1385</v>
      </c>
    </row>
    <row r="57" spans="1:3">
      <c r="A57" s="23" t="s">
        <v>1386</v>
      </c>
      <c r="B57" s="17" t="s">
        <v>134</v>
      </c>
      <c r="C57" s="25" t="s">
        <v>139</v>
      </c>
    </row>
    <row r="58" spans="1:3">
      <c r="A58" s="23" t="s">
        <v>138</v>
      </c>
      <c r="B58" s="17" t="s">
        <v>134</v>
      </c>
      <c r="C58" s="25" t="s">
        <v>139</v>
      </c>
    </row>
    <row r="59" spans="1:3">
      <c r="A59" s="23" t="s">
        <v>1387</v>
      </c>
      <c r="B59" s="17" t="s">
        <v>134</v>
      </c>
      <c r="C59" s="25" t="s">
        <v>1383</v>
      </c>
    </row>
    <row r="60" spans="1:3">
      <c r="A60" s="23" t="s">
        <v>142</v>
      </c>
      <c r="B60" s="17" t="s">
        <v>141</v>
      </c>
      <c r="C60" s="25" t="s">
        <v>143</v>
      </c>
    </row>
    <row r="61" spans="1:3">
      <c r="A61" s="23" t="s">
        <v>1388</v>
      </c>
      <c r="B61" s="17" t="s">
        <v>145</v>
      </c>
      <c r="C61" s="25" t="s">
        <v>1389</v>
      </c>
    </row>
    <row r="62" spans="1:3">
      <c r="A62" s="23" t="s">
        <v>1390</v>
      </c>
      <c r="B62" s="17" t="s">
        <v>145</v>
      </c>
      <c r="C62" s="25" t="s">
        <v>1391</v>
      </c>
    </row>
    <row r="63" spans="1:3">
      <c r="A63" s="23" t="s">
        <v>146</v>
      </c>
      <c r="B63" s="17" t="s">
        <v>145</v>
      </c>
      <c r="C63" s="25" t="s">
        <v>147</v>
      </c>
    </row>
    <row r="64" spans="1:3">
      <c r="A64" s="23" t="s">
        <v>1392</v>
      </c>
      <c r="B64" s="17" t="s">
        <v>145</v>
      </c>
      <c r="C64" s="25" t="s">
        <v>1393</v>
      </c>
    </row>
    <row r="65" spans="1:3">
      <c r="A65" s="23" t="s">
        <v>1394</v>
      </c>
      <c r="B65" s="17" t="s">
        <v>149</v>
      </c>
      <c r="C65" s="25" t="s">
        <v>1395</v>
      </c>
    </row>
    <row r="66" spans="1:3">
      <c r="A66" s="23" t="s">
        <v>150</v>
      </c>
      <c r="B66" s="17" t="s">
        <v>149</v>
      </c>
      <c r="C66" s="25" t="s">
        <v>151</v>
      </c>
    </row>
    <row r="67" spans="1:3">
      <c r="A67" s="23" t="s">
        <v>154</v>
      </c>
      <c r="B67" s="17" t="s">
        <v>153</v>
      </c>
      <c r="C67" s="25" t="s">
        <v>155</v>
      </c>
    </row>
    <row r="68" spans="1:3">
      <c r="A68" s="23" t="s">
        <v>1396</v>
      </c>
      <c r="B68" s="17" t="s">
        <v>153</v>
      </c>
      <c r="C68" s="25" t="s">
        <v>1397</v>
      </c>
    </row>
    <row r="69" spans="1:3">
      <c r="A69" s="23" t="s">
        <v>1398</v>
      </c>
      <c r="B69" s="17" t="s">
        <v>153</v>
      </c>
      <c r="C69" s="25" t="s">
        <v>1399</v>
      </c>
    </row>
    <row r="70" spans="1:3">
      <c r="A70" s="23" t="s">
        <v>1400</v>
      </c>
      <c r="B70" s="17" t="s">
        <v>153</v>
      </c>
      <c r="C70" s="25" t="s">
        <v>1401</v>
      </c>
    </row>
    <row r="71" spans="1:3">
      <c r="A71" s="23" t="s">
        <v>1402</v>
      </c>
      <c r="B71" s="17" t="s">
        <v>1403</v>
      </c>
      <c r="C71" s="25" t="s">
        <v>1404</v>
      </c>
    </row>
    <row r="72" spans="1:3">
      <c r="A72" s="23" t="s">
        <v>1405</v>
      </c>
      <c r="B72" s="17" t="s">
        <v>52</v>
      </c>
      <c r="C72" s="25" t="s">
        <v>53</v>
      </c>
    </row>
    <row r="73" spans="1:3">
      <c r="A73" s="23" t="s">
        <v>1406</v>
      </c>
      <c r="B73" s="17" t="s">
        <v>52</v>
      </c>
      <c r="C73" s="25" t="s">
        <v>1407</v>
      </c>
    </row>
    <row r="74" spans="1:3">
      <c r="A74" s="23" t="s">
        <v>158</v>
      </c>
      <c r="B74" s="17" t="s">
        <v>157</v>
      </c>
      <c r="C74" s="25" t="s">
        <v>159</v>
      </c>
    </row>
    <row r="75" spans="1:3">
      <c r="A75" s="23" t="s">
        <v>1408</v>
      </c>
      <c r="B75" s="17" t="s">
        <v>157</v>
      </c>
      <c r="C75" s="25" t="s">
        <v>1409</v>
      </c>
    </row>
    <row r="76" spans="1:3">
      <c r="A76" s="23" t="s">
        <v>95</v>
      </c>
      <c r="B76" s="17" t="s">
        <v>94</v>
      </c>
      <c r="C76" s="25" t="s">
        <v>96</v>
      </c>
    </row>
    <row r="77" spans="1:3">
      <c r="A77" s="23" t="s">
        <v>1410</v>
      </c>
      <c r="B77" s="17" t="s">
        <v>94</v>
      </c>
      <c r="C77" s="25" t="s">
        <v>1411</v>
      </c>
    </row>
    <row r="78" spans="1:3">
      <c r="A78" s="23" t="s">
        <v>1412</v>
      </c>
      <c r="B78" s="17" t="s">
        <v>94</v>
      </c>
      <c r="C78" s="25" t="s">
        <v>1413</v>
      </c>
    </row>
    <row r="79" spans="1:3">
      <c r="A79" s="23" t="s">
        <v>1414</v>
      </c>
      <c r="B79" s="17" t="s">
        <v>94</v>
      </c>
      <c r="C79" s="25" t="s">
        <v>1415</v>
      </c>
    </row>
    <row r="80" spans="1:3">
      <c r="A80" s="23" t="s">
        <v>1416</v>
      </c>
      <c r="B80" s="17" t="s">
        <v>94</v>
      </c>
      <c r="C80" s="25" t="s">
        <v>1413</v>
      </c>
    </row>
    <row r="81" spans="1:3">
      <c r="A81" s="23" t="s">
        <v>161</v>
      </c>
      <c r="B81" s="17" t="s">
        <v>94</v>
      </c>
      <c r="C81" s="25" t="s">
        <v>162</v>
      </c>
    </row>
    <row r="82" spans="1:3">
      <c r="A82" s="23" t="s">
        <v>1417</v>
      </c>
      <c r="B82" s="17" t="s">
        <v>94</v>
      </c>
      <c r="C82" s="25" t="s">
        <v>1418</v>
      </c>
    </row>
    <row r="83" spans="1:3">
      <c r="A83" s="23" t="s">
        <v>1419</v>
      </c>
      <c r="B83" s="17" t="s">
        <v>94</v>
      </c>
      <c r="C83" s="25" t="s">
        <v>162</v>
      </c>
    </row>
    <row r="84" spans="1:3">
      <c r="A84" s="23" t="s">
        <v>1420</v>
      </c>
      <c r="B84" s="17" t="s">
        <v>94</v>
      </c>
      <c r="C84" s="25" t="s">
        <v>1421</v>
      </c>
    </row>
    <row r="85" spans="1:3">
      <c r="A85" s="23" t="s">
        <v>165</v>
      </c>
      <c r="B85" s="17" t="s">
        <v>164</v>
      </c>
      <c r="C85" s="25" t="s">
        <v>166</v>
      </c>
    </row>
    <row r="86" spans="1:3">
      <c r="A86" s="23" t="s">
        <v>169</v>
      </c>
      <c r="B86" s="17" t="s">
        <v>168</v>
      </c>
      <c r="C86" s="25" t="s">
        <v>170</v>
      </c>
    </row>
    <row r="87" spans="1:3">
      <c r="A87" s="23" t="s">
        <v>1422</v>
      </c>
      <c r="B87" s="17" t="s">
        <v>1423</v>
      </c>
      <c r="C87" s="25" t="s">
        <v>1424</v>
      </c>
    </row>
    <row r="88" spans="1:3">
      <c r="A88" s="23" t="s">
        <v>173</v>
      </c>
      <c r="B88" s="17" t="s">
        <v>172</v>
      </c>
      <c r="C88" s="25" t="s">
        <v>174</v>
      </c>
    </row>
    <row r="89" spans="1:3">
      <c r="A89" s="23" t="s">
        <v>1425</v>
      </c>
      <c r="B89" s="17" t="s">
        <v>172</v>
      </c>
      <c r="C89" s="25" t="s">
        <v>1426</v>
      </c>
    </row>
    <row r="90" spans="1:3">
      <c r="A90" s="23" t="s">
        <v>1427</v>
      </c>
      <c r="B90" s="17" t="s">
        <v>172</v>
      </c>
      <c r="C90" s="25" t="s">
        <v>174</v>
      </c>
    </row>
    <row r="91" spans="1:3">
      <c r="A91" s="23" t="s">
        <v>1428</v>
      </c>
      <c r="B91" s="17" t="s">
        <v>172</v>
      </c>
      <c r="C91" s="25" t="s">
        <v>1429</v>
      </c>
    </row>
    <row r="92" spans="1:3">
      <c r="A92" s="23" t="s">
        <v>1430</v>
      </c>
      <c r="B92" s="17" t="s">
        <v>176</v>
      </c>
      <c r="C92" s="25" t="s">
        <v>1431</v>
      </c>
    </row>
    <row r="93" spans="1:3">
      <c r="A93" s="23" t="s">
        <v>1432</v>
      </c>
      <c r="B93" s="17" t="s">
        <v>176</v>
      </c>
      <c r="C93" s="25" t="s">
        <v>1433</v>
      </c>
    </row>
    <row r="94" spans="1:3">
      <c r="A94" s="23" t="s">
        <v>177</v>
      </c>
      <c r="B94" s="17" t="s">
        <v>176</v>
      </c>
      <c r="C94" s="25" t="s">
        <v>178</v>
      </c>
    </row>
    <row r="95" spans="1:3">
      <c r="A95" s="23" t="s">
        <v>1434</v>
      </c>
      <c r="B95" s="17" t="s">
        <v>58</v>
      </c>
      <c r="C95" s="25" t="s">
        <v>59</v>
      </c>
    </row>
    <row r="96" spans="1:3">
      <c r="A96" s="23" t="s">
        <v>1435</v>
      </c>
      <c r="B96" s="17" t="s">
        <v>58</v>
      </c>
      <c r="C96" s="25" t="s">
        <v>1436</v>
      </c>
    </row>
    <row r="97" spans="1:3">
      <c r="A97" s="23" t="s">
        <v>1437</v>
      </c>
      <c r="B97" s="17" t="s">
        <v>58</v>
      </c>
      <c r="C97" s="25" t="s">
        <v>1438</v>
      </c>
    </row>
    <row r="98" spans="1:3">
      <c r="A98" s="23" t="s">
        <v>181</v>
      </c>
      <c r="B98" s="17" t="s">
        <v>180</v>
      </c>
      <c r="C98" s="25" t="s">
        <v>182</v>
      </c>
    </row>
    <row r="99" spans="1:3">
      <c r="A99" s="23" t="s">
        <v>1439</v>
      </c>
      <c r="B99" s="17" t="s">
        <v>1440</v>
      </c>
      <c r="C99" s="25" t="s">
        <v>1441</v>
      </c>
    </row>
    <row r="100" spans="1:3">
      <c r="A100" s="23" t="s">
        <v>185</v>
      </c>
      <c r="B100" s="17" t="s">
        <v>184</v>
      </c>
      <c r="C100" s="25" t="s">
        <v>186</v>
      </c>
    </row>
    <row r="101" spans="1:3">
      <c r="A101" s="23" t="s">
        <v>197</v>
      </c>
      <c r="B101" s="17" t="s">
        <v>196</v>
      </c>
      <c r="C101" s="25" t="s">
        <v>198</v>
      </c>
    </row>
    <row r="102" spans="1:3">
      <c r="A102" s="23" t="s">
        <v>1442</v>
      </c>
      <c r="B102" s="17" t="s">
        <v>196</v>
      </c>
      <c r="C102" s="25" t="s">
        <v>198</v>
      </c>
    </row>
    <row r="103" spans="1:3">
      <c r="A103" s="23" t="s">
        <v>189</v>
      </c>
      <c r="B103" s="17" t="s">
        <v>188</v>
      </c>
      <c r="C103" s="25" t="s">
        <v>190</v>
      </c>
    </row>
    <row r="104" spans="1:3">
      <c r="A104" s="23" t="s">
        <v>1443</v>
      </c>
      <c r="B104" s="17" t="s">
        <v>61</v>
      </c>
      <c r="C104" s="25" t="s">
        <v>1444</v>
      </c>
    </row>
    <row r="105" spans="1:3">
      <c r="A105" s="23" t="s">
        <v>123</v>
      </c>
      <c r="B105" s="17" t="s">
        <v>122</v>
      </c>
      <c r="C105" s="25" t="s">
        <v>124</v>
      </c>
    </row>
    <row r="106" spans="1:3">
      <c r="A106" s="23" t="s">
        <v>1445</v>
      </c>
      <c r="B106" s="17" t="s">
        <v>122</v>
      </c>
      <c r="C106" s="25" t="s">
        <v>1446</v>
      </c>
    </row>
    <row r="107" spans="1:3">
      <c r="A107" s="23" t="s">
        <v>1447</v>
      </c>
      <c r="B107" s="17" t="s">
        <v>122</v>
      </c>
      <c r="C107" s="25" t="s">
        <v>1448</v>
      </c>
    </row>
    <row r="108" spans="1:3">
      <c r="A108" s="23" t="s">
        <v>1449</v>
      </c>
      <c r="B108" s="17" t="s">
        <v>122</v>
      </c>
      <c r="C108" s="25" t="s">
        <v>1450</v>
      </c>
    </row>
    <row r="109" spans="1:3">
      <c r="A109" s="23" t="s">
        <v>1451</v>
      </c>
      <c r="B109" s="17" t="s">
        <v>64</v>
      </c>
      <c r="C109" s="25" t="s">
        <v>65</v>
      </c>
    </row>
    <row r="110" spans="1:3">
      <c r="A110" s="23" t="s">
        <v>1452</v>
      </c>
      <c r="B110" s="17" t="s">
        <v>64</v>
      </c>
      <c r="C110" s="25" t="s">
        <v>1453</v>
      </c>
    </row>
    <row r="111" spans="1:3">
      <c r="A111" s="23" t="s">
        <v>1454</v>
      </c>
      <c r="B111" s="17" t="s">
        <v>64</v>
      </c>
      <c r="C111" s="25" t="s">
        <v>1455</v>
      </c>
    </row>
    <row r="112" spans="1:3">
      <c r="A112" s="23" t="s">
        <v>1456</v>
      </c>
      <c r="B112" s="17" t="s">
        <v>67</v>
      </c>
      <c r="C112" s="25" t="s">
        <v>68</v>
      </c>
    </row>
    <row r="113" spans="1:3">
      <c r="A113" s="23" t="s">
        <v>1457</v>
      </c>
      <c r="B113" s="17" t="s">
        <v>67</v>
      </c>
      <c r="C113" s="25" t="s">
        <v>1458</v>
      </c>
    </row>
    <row r="114" spans="1:3">
      <c r="A114" s="23" t="s">
        <v>1459</v>
      </c>
      <c r="B114" s="17" t="s">
        <v>70</v>
      </c>
      <c r="C114" s="25" t="s">
        <v>1460</v>
      </c>
    </row>
    <row r="115" spans="1:3">
      <c r="A115" s="23" t="s">
        <v>1461</v>
      </c>
      <c r="B115" s="17" t="s">
        <v>70</v>
      </c>
      <c r="C115" s="25" t="s">
        <v>71</v>
      </c>
    </row>
    <row r="116" spans="1:3">
      <c r="A116" s="23" t="s">
        <v>1462</v>
      </c>
      <c r="B116" s="17" t="s">
        <v>70</v>
      </c>
      <c r="C116" s="25" t="s">
        <v>1463</v>
      </c>
    </row>
    <row r="117" spans="1:3">
      <c r="A117" s="23" t="s">
        <v>1464</v>
      </c>
      <c r="B117" s="17" t="s">
        <v>192</v>
      </c>
      <c r="C117" s="25" t="s">
        <v>1465</v>
      </c>
    </row>
    <row r="118" spans="1:3">
      <c r="A118" s="23" t="s">
        <v>1466</v>
      </c>
      <c r="B118" s="17" t="s">
        <v>192</v>
      </c>
      <c r="C118" s="25" t="s">
        <v>194</v>
      </c>
    </row>
    <row r="119" spans="1:3">
      <c r="A119" s="23" t="s">
        <v>193</v>
      </c>
      <c r="B119" s="17" t="s">
        <v>192</v>
      </c>
      <c r="C119" s="25" t="s">
        <v>194</v>
      </c>
    </row>
    <row r="120" spans="1:3">
      <c r="A120" s="23" t="s">
        <v>1467</v>
      </c>
      <c r="B120" s="17" t="s">
        <v>1468</v>
      </c>
      <c r="C120" s="25" t="s">
        <v>1469</v>
      </c>
    </row>
    <row r="121" spans="1:3">
      <c r="A121" s="23" t="s">
        <v>1470</v>
      </c>
      <c r="B121" s="17" t="s">
        <v>200</v>
      </c>
      <c r="C121" s="25" t="s">
        <v>202</v>
      </c>
    </row>
    <row r="122" spans="1:3">
      <c r="A122" s="23" t="s">
        <v>1471</v>
      </c>
      <c r="B122" s="17" t="s">
        <v>200</v>
      </c>
      <c r="C122" s="25" t="s">
        <v>1472</v>
      </c>
    </row>
    <row r="123" spans="1:3">
      <c r="A123" s="23" t="s">
        <v>1473</v>
      </c>
      <c r="B123" s="17" t="s">
        <v>200</v>
      </c>
      <c r="C123" s="25" t="s">
        <v>1474</v>
      </c>
    </row>
    <row r="124" spans="1:3">
      <c r="A124" s="23" t="s">
        <v>201</v>
      </c>
      <c r="B124" s="17" t="s">
        <v>200</v>
      </c>
      <c r="C124" s="25" t="s">
        <v>202</v>
      </c>
    </row>
    <row r="125" spans="1:3">
      <c r="A125" s="28" t="s">
        <v>1475</v>
      </c>
      <c r="B125" s="29" t="s">
        <v>1476</v>
      </c>
      <c r="C125" s="18" t="s">
        <v>1477</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1F42FA-1F07-4CE1-97B0-225C7C1C1CA2}">
  <sheetPr codeName="Sheet6"/>
  <dimension ref="A1:G501"/>
  <sheetViews>
    <sheetView topLeftCell="A467" workbookViewId="0">
      <selection activeCell="N27" sqref="N27"/>
    </sheetView>
  </sheetViews>
  <sheetFormatPr defaultRowHeight="14.45"/>
  <cols>
    <col min="1" max="1" width="11" customWidth="1"/>
    <col min="2" max="2" width="36" bestFit="1" customWidth="1"/>
    <col min="3" max="3" width="33.42578125" bestFit="1" customWidth="1"/>
  </cols>
  <sheetData>
    <row r="1" spans="1:7">
      <c r="A1" s="14" t="s">
        <v>980</v>
      </c>
      <c r="B1" s="31" t="s">
        <v>1478</v>
      </c>
      <c r="C1" s="15" t="s">
        <v>1300</v>
      </c>
      <c r="F1" s="1"/>
      <c r="G1" s="3"/>
    </row>
    <row r="2" spans="1:7">
      <c r="A2" s="23">
        <v>1</v>
      </c>
      <c r="B2" s="17" t="s">
        <v>1479</v>
      </c>
      <c r="C2" s="25" t="s">
        <v>1480</v>
      </c>
      <c r="F2" s="1"/>
      <c r="G2" s="3"/>
    </row>
    <row r="3" spans="1:7">
      <c r="A3" s="23">
        <v>2</v>
      </c>
      <c r="B3" s="17" t="s">
        <v>1481</v>
      </c>
      <c r="C3" s="25" t="s">
        <v>64</v>
      </c>
      <c r="F3" s="1"/>
      <c r="G3" s="3"/>
    </row>
    <row r="4" spans="1:7">
      <c r="A4" s="23">
        <v>3</v>
      </c>
      <c r="B4" s="17" t="s">
        <v>1482</v>
      </c>
      <c r="C4" s="25" t="s">
        <v>153</v>
      </c>
      <c r="F4" s="1"/>
      <c r="G4" s="3"/>
    </row>
    <row r="5" spans="1:7">
      <c r="A5" s="23">
        <v>4</v>
      </c>
      <c r="B5" s="17" t="s">
        <v>1483</v>
      </c>
      <c r="C5" s="25" t="s">
        <v>122</v>
      </c>
      <c r="F5" s="1"/>
      <c r="G5" s="3"/>
    </row>
    <row r="6" spans="1:7">
      <c r="A6" s="23">
        <v>5</v>
      </c>
      <c r="B6" s="17" t="s">
        <v>1484</v>
      </c>
      <c r="C6" s="25" t="s">
        <v>1485</v>
      </c>
      <c r="F6" s="1"/>
      <c r="G6" s="3"/>
    </row>
    <row r="7" spans="1:7">
      <c r="A7" s="23">
        <v>6</v>
      </c>
      <c r="B7" s="17" t="s">
        <v>1486</v>
      </c>
      <c r="C7" s="25" t="s">
        <v>55</v>
      </c>
      <c r="F7" s="1"/>
      <c r="G7" s="3"/>
    </row>
    <row r="8" spans="1:7">
      <c r="A8" s="23">
        <v>7</v>
      </c>
      <c r="B8" s="17" t="s">
        <v>1487</v>
      </c>
      <c r="C8" s="25" t="s">
        <v>122</v>
      </c>
      <c r="F8" s="1"/>
      <c r="G8" s="3"/>
    </row>
    <row r="9" spans="1:7">
      <c r="A9" s="23">
        <v>8</v>
      </c>
      <c r="B9" s="17" t="s">
        <v>1488</v>
      </c>
      <c r="C9" s="25" t="s">
        <v>126</v>
      </c>
      <c r="F9" s="1"/>
      <c r="G9" s="3"/>
    </row>
    <row r="10" spans="1:7">
      <c r="A10" s="23">
        <v>9</v>
      </c>
      <c r="B10" s="17" t="s">
        <v>1489</v>
      </c>
      <c r="C10" s="25" t="s">
        <v>110</v>
      </c>
      <c r="F10" s="1"/>
      <c r="G10" s="3"/>
    </row>
    <row r="11" spans="1:7">
      <c r="A11" s="23">
        <v>10</v>
      </c>
      <c r="B11" s="17" t="s">
        <v>1490</v>
      </c>
      <c r="C11" s="25" t="s">
        <v>172</v>
      </c>
      <c r="F11" s="1"/>
      <c r="G11" s="3"/>
    </row>
    <row r="12" spans="1:7">
      <c r="A12" s="23">
        <v>11</v>
      </c>
      <c r="B12" s="17" t="s">
        <v>1491</v>
      </c>
      <c r="C12" s="25" t="s">
        <v>94</v>
      </c>
      <c r="F12" s="1"/>
      <c r="G12" s="3"/>
    </row>
    <row r="13" spans="1:7">
      <c r="A13" s="23">
        <v>12</v>
      </c>
      <c r="B13" s="17" t="s">
        <v>1492</v>
      </c>
      <c r="C13" s="25" t="s">
        <v>64</v>
      </c>
      <c r="F13" s="1"/>
      <c r="G13" s="3"/>
    </row>
    <row r="14" spans="1:7">
      <c r="A14" s="23">
        <v>13</v>
      </c>
      <c r="B14" s="17" t="s">
        <v>1493</v>
      </c>
      <c r="C14" s="25" t="s">
        <v>1494</v>
      </c>
      <c r="F14" s="1"/>
      <c r="G14" s="3"/>
    </row>
    <row r="15" spans="1:7">
      <c r="A15" s="23">
        <v>14</v>
      </c>
      <c r="B15" s="17" t="s">
        <v>1495</v>
      </c>
      <c r="C15" s="25" t="s">
        <v>64</v>
      </c>
      <c r="F15" s="1"/>
      <c r="G15" s="3"/>
    </row>
    <row r="16" spans="1:7">
      <c r="A16" s="23">
        <v>15</v>
      </c>
      <c r="B16" s="17" t="s">
        <v>1496</v>
      </c>
      <c r="C16" s="25" t="s">
        <v>36</v>
      </c>
      <c r="F16" s="1"/>
      <c r="G16" s="3"/>
    </row>
    <row r="17" spans="1:7">
      <c r="A17" s="23">
        <v>16</v>
      </c>
      <c r="B17" s="17" t="s">
        <v>1497</v>
      </c>
      <c r="C17" s="25" t="s">
        <v>126</v>
      </c>
      <c r="F17" s="1"/>
      <c r="G17" s="3"/>
    </row>
    <row r="18" spans="1:7">
      <c r="A18" s="23">
        <v>17</v>
      </c>
      <c r="B18" s="17" t="s">
        <v>1498</v>
      </c>
      <c r="C18" s="25" t="s">
        <v>98</v>
      </c>
      <c r="F18" s="1"/>
      <c r="G18" s="3"/>
    </row>
    <row r="19" spans="1:7">
      <c r="A19" s="23">
        <v>18</v>
      </c>
      <c r="B19" s="17" t="s">
        <v>1499</v>
      </c>
      <c r="C19" s="25" t="s">
        <v>118</v>
      </c>
      <c r="F19" s="1"/>
      <c r="G19" s="3"/>
    </row>
    <row r="20" spans="1:7">
      <c r="A20" s="23">
        <v>19</v>
      </c>
      <c r="B20" s="17" t="s">
        <v>1500</v>
      </c>
      <c r="C20" s="25" t="s">
        <v>118</v>
      </c>
      <c r="F20" s="1"/>
      <c r="G20" s="3"/>
    </row>
    <row r="21" spans="1:7">
      <c r="A21" s="23">
        <v>20</v>
      </c>
      <c r="B21" s="17" t="s">
        <v>1501</v>
      </c>
      <c r="C21" s="25" t="s">
        <v>130</v>
      </c>
      <c r="F21" s="1"/>
      <c r="G21" s="3"/>
    </row>
    <row r="22" spans="1:7">
      <c r="A22" s="23">
        <v>21</v>
      </c>
      <c r="B22" s="17" t="s">
        <v>1502</v>
      </c>
      <c r="C22" s="25" t="s">
        <v>94</v>
      </c>
      <c r="F22" s="1"/>
      <c r="G22" s="3"/>
    </row>
    <row r="23" spans="1:7">
      <c r="A23" s="23">
        <v>22</v>
      </c>
      <c r="B23" s="17" t="s">
        <v>1503</v>
      </c>
      <c r="C23" s="25" t="s">
        <v>122</v>
      </c>
      <c r="F23" s="1"/>
      <c r="G23" s="3"/>
    </row>
    <row r="24" spans="1:7">
      <c r="A24" s="23">
        <v>23</v>
      </c>
      <c r="B24" s="17" t="s">
        <v>1504</v>
      </c>
      <c r="C24" s="25" t="s">
        <v>67</v>
      </c>
      <c r="F24" s="1"/>
      <c r="G24" s="3"/>
    </row>
    <row r="25" spans="1:7">
      <c r="A25" s="23">
        <v>24</v>
      </c>
      <c r="B25" s="17" t="s">
        <v>1505</v>
      </c>
      <c r="C25" s="25" t="s">
        <v>86</v>
      </c>
      <c r="F25" s="1"/>
      <c r="G25" s="3"/>
    </row>
    <row r="26" spans="1:7">
      <c r="A26" s="23">
        <v>25</v>
      </c>
      <c r="B26" s="17" t="s">
        <v>1506</v>
      </c>
      <c r="C26" s="25" t="s">
        <v>200</v>
      </c>
      <c r="F26" s="1"/>
      <c r="G26" s="3"/>
    </row>
    <row r="27" spans="1:7">
      <c r="A27" s="23">
        <v>26</v>
      </c>
      <c r="B27" s="17" t="s">
        <v>1507</v>
      </c>
      <c r="C27" s="25" t="s">
        <v>102</v>
      </c>
      <c r="F27" s="1"/>
      <c r="G27" s="3"/>
    </row>
    <row r="28" spans="1:7">
      <c r="A28" s="23">
        <v>27</v>
      </c>
      <c r="B28" s="17" t="s">
        <v>1508</v>
      </c>
      <c r="C28" s="25" t="s">
        <v>32</v>
      </c>
      <c r="F28" s="1"/>
      <c r="G28" s="3"/>
    </row>
    <row r="29" spans="1:7">
      <c r="A29" s="23">
        <v>28</v>
      </c>
      <c r="B29" s="17" t="s">
        <v>1509</v>
      </c>
      <c r="C29" s="25" t="s">
        <v>126</v>
      </c>
      <c r="F29" s="1"/>
      <c r="G29" s="3"/>
    </row>
    <row r="30" spans="1:7">
      <c r="A30" s="23">
        <v>29</v>
      </c>
      <c r="B30" s="17" t="s">
        <v>1510</v>
      </c>
      <c r="C30" s="25" t="s">
        <v>1511</v>
      </c>
      <c r="F30" s="1"/>
      <c r="G30" s="3"/>
    </row>
    <row r="31" spans="1:7">
      <c r="A31" s="23">
        <v>30</v>
      </c>
      <c r="B31" s="17" t="s">
        <v>1512</v>
      </c>
      <c r="C31" s="25" t="s">
        <v>94</v>
      </c>
      <c r="F31" s="1"/>
      <c r="G31" s="3"/>
    </row>
    <row r="32" spans="1:7">
      <c r="A32" s="23">
        <v>31</v>
      </c>
      <c r="B32" s="17" t="s">
        <v>1513</v>
      </c>
      <c r="C32" s="25" t="s">
        <v>122</v>
      </c>
      <c r="F32" s="1"/>
      <c r="G32" s="3"/>
    </row>
    <row r="33" spans="1:7">
      <c r="A33" s="23">
        <v>32</v>
      </c>
      <c r="B33" s="17" t="s">
        <v>1514</v>
      </c>
      <c r="C33" s="25" t="s">
        <v>94</v>
      </c>
      <c r="F33" s="1"/>
      <c r="G33" s="3"/>
    </row>
    <row r="34" spans="1:7">
      <c r="A34" s="23">
        <v>33</v>
      </c>
      <c r="B34" s="17" t="s">
        <v>1515</v>
      </c>
      <c r="C34" s="25" t="s">
        <v>122</v>
      </c>
      <c r="F34" s="1"/>
      <c r="G34" s="3"/>
    </row>
    <row r="35" spans="1:7">
      <c r="A35" s="23">
        <v>34</v>
      </c>
      <c r="B35" s="17" t="s">
        <v>1516</v>
      </c>
      <c r="C35" s="25" t="s">
        <v>188</v>
      </c>
      <c r="F35" s="1"/>
      <c r="G35" s="3"/>
    </row>
    <row r="36" spans="1:7">
      <c r="A36" s="23">
        <v>35</v>
      </c>
      <c r="B36" s="17" t="s">
        <v>1517</v>
      </c>
      <c r="C36" s="25" t="s">
        <v>172</v>
      </c>
      <c r="F36" s="1"/>
      <c r="G36" s="3"/>
    </row>
    <row r="37" spans="1:7">
      <c r="A37" s="23">
        <v>36</v>
      </c>
      <c r="B37" s="17" t="s">
        <v>1518</v>
      </c>
      <c r="C37" s="25" t="s">
        <v>1519</v>
      </c>
      <c r="F37" s="1"/>
      <c r="G37" s="3"/>
    </row>
    <row r="38" spans="1:7">
      <c r="A38" s="23">
        <v>37</v>
      </c>
      <c r="B38" s="17" t="s">
        <v>1520</v>
      </c>
      <c r="C38" s="25" t="s">
        <v>110</v>
      </c>
      <c r="F38" s="1"/>
      <c r="G38" s="3"/>
    </row>
    <row r="39" spans="1:7">
      <c r="A39" s="23">
        <v>38</v>
      </c>
      <c r="B39" s="17" t="s">
        <v>1521</v>
      </c>
      <c r="C39" s="25" t="s">
        <v>200</v>
      </c>
      <c r="F39" s="1"/>
      <c r="G39" s="3"/>
    </row>
    <row r="40" spans="1:7">
      <c r="A40" s="23">
        <v>39</v>
      </c>
      <c r="B40" s="17" t="s">
        <v>1522</v>
      </c>
      <c r="C40" s="25" t="s">
        <v>49</v>
      </c>
      <c r="F40" s="1"/>
      <c r="G40" s="3"/>
    </row>
    <row r="41" spans="1:7">
      <c r="A41" s="23">
        <v>40</v>
      </c>
      <c r="B41" s="17" t="s">
        <v>1523</v>
      </c>
      <c r="C41" s="25" t="s">
        <v>94</v>
      </c>
      <c r="F41" s="1"/>
      <c r="G41" s="3"/>
    </row>
    <row r="42" spans="1:7">
      <c r="A42" s="23">
        <v>41</v>
      </c>
      <c r="B42" s="17" t="s">
        <v>1524</v>
      </c>
      <c r="C42" s="25" t="s">
        <v>153</v>
      </c>
      <c r="F42" s="1"/>
      <c r="G42" s="3"/>
    </row>
    <row r="43" spans="1:7">
      <c r="A43" s="23">
        <v>42</v>
      </c>
      <c r="B43" s="17" t="s">
        <v>1525</v>
      </c>
      <c r="C43" s="25" t="s">
        <v>94</v>
      </c>
      <c r="F43" s="1"/>
      <c r="G43" s="3"/>
    </row>
    <row r="44" spans="1:7">
      <c r="A44" s="23">
        <v>43</v>
      </c>
      <c r="B44" s="17" t="s">
        <v>1526</v>
      </c>
      <c r="C44" s="25" t="s">
        <v>27</v>
      </c>
      <c r="F44" s="1"/>
      <c r="G44" s="3"/>
    </row>
    <row r="45" spans="1:7">
      <c r="A45" s="23">
        <v>44</v>
      </c>
      <c r="B45" s="17" t="s">
        <v>1527</v>
      </c>
      <c r="C45" s="25" t="s">
        <v>27</v>
      </c>
      <c r="F45" s="1"/>
      <c r="G45" s="3"/>
    </row>
    <row r="46" spans="1:7">
      <c r="A46" s="23">
        <v>45</v>
      </c>
      <c r="B46" s="17" t="s">
        <v>1528</v>
      </c>
      <c r="C46" s="25" t="s">
        <v>94</v>
      </c>
      <c r="F46" s="1"/>
      <c r="G46" s="3"/>
    </row>
    <row r="47" spans="1:7">
      <c r="A47" s="23">
        <v>46</v>
      </c>
      <c r="B47" s="17" t="s">
        <v>1529</v>
      </c>
      <c r="C47" s="25" t="s">
        <v>134</v>
      </c>
      <c r="F47" s="1"/>
      <c r="G47" s="3"/>
    </row>
    <row r="48" spans="1:7">
      <c r="A48" s="23">
        <v>47</v>
      </c>
      <c r="B48" s="17" t="s">
        <v>1530</v>
      </c>
      <c r="C48" s="25" t="s">
        <v>86</v>
      </c>
      <c r="F48" s="1"/>
      <c r="G48" s="3"/>
    </row>
    <row r="49" spans="1:7">
      <c r="A49" s="23">
        <v>48</v>
      </c>
      <c r="B49" s="17" t="s">
        <v>1531</v>
      </c>
      <c r="C49" s="25" t="s">
        <v>94</v>
      </c>
      <c r="F49" s="1"/>
      <c r="G49" s="3"/>
    </row>
    <row r="50" spans="1:7">
      <c r="A50" s="23">
        <v>49</v>
      </c>
      <c r="B50" s="17" t="s">
        <v>1532</v>
      </c>
      <c r="C50" s="25" t="s">
        <v>141</v>
      </c>
      <c r="F50" s="1"/>
      <c r="G50" s="3"/>
    </row>
    <row r="51" spans="1:7">
      <c r="A51" s="23">
        <v>50</v>
      </c>
      <c r="B51" s="17" t="s">
        <v>1533</v>
      </c>
      <c r="C51" s="25" t="s">
        <v>102</v>
      </c>
      <c r="F51" s="1"/>
      <c r="G51" s="3"/>
    </row>
    <row r="52" spans="1:7">
      <c r="A52" s="23">
        <v>51</v>
      </c>
      <c r="B52" s="17" t="s">
        <v>1534</v>
      </c>
      <c r="C52" s="25" t="s">
        <v>32</v>
      </c>
      <c r="F52" s="1"/>
      <c r="G52" s="3"/>
    </row>
    <row r="53" spans="1:7">
      <c r="A53" s="23">
        <v>52</v>
      </c>
      <c r="B53" s="17" t="s">
        <v>1535</v>
      </c>
      <c r="C53" s="25" t="s">
        <v>98</v>
      </c>
      <c r="F53" s="1"/>
      <c r="G53" s="3"/>
    </row>
    <row r="54" spans="1:7">
      <c r="A54" s="23">
        <v>53</v>
      </c>
      <c r="B54" s="17" t="s">
        <v>1536</v>
      </c>
      <c r="C54" s="25" t="s">
        <v>110</v>
      </c>
      <c r="F54" s="1"/>
      <c r="G54" s="3"/>
    </row>
    <row r="55" spans="1:7">
      <c r="A55" s="23">
        <v>54</v>
      </c>
      <c r="B55" s="17" t="s">
        <v>1537</v>
      </c>
      <c r="C55" s="25" t="s">
        <v>200</v>
      </c>
      <c r="F55" s="1"/>
      <c r="G55" s="3"/>
    </row>
    <row r="56" spans="1:7">
      <c r="A56" s="23">
        <v>55</v>
      </c>
      <c r="B56" s="17" t="s">
        <v>1538</v>
      </c>
      <c r="C56" s="25" t="s">
        <v>1032</v>
      </c>
      <c r="F56" s="1"/>
      <c r="G56" s="3"/>
    </row>
    <row r="57" spans="1:7">
      <c r="A57" s="23">
        <v>56</v>
      </c>
      <c r="B57" s="17" t="s">
        <v>1539</v>
      </c>
      <c r="C57" s="25" t="s">
        <v>126</v>
      </c>
      <c r="F57" s="1"/>
      <c r="G57" s="3"/>
    </row>
    <row r="58" spans="1:7">
      <c r="A58" s="23">
        <v>57</v>
      </c>
      <c r="B58" s="17" t="s">
        <v>1540</v>
      </c>
      <c r="C58" s="25" t="s">
        <v>106</v>
      </c>
      <c r="F58" s="1"/>
      <c r="G58" s="3"/>
    </row>
    <row r="59" spans="1:7">
      <c r="A59" s="23">
        <v>58</v>
      </c>
      <c r="B59" s="17" t="s">
        <v>1541</v>
      </c>
      <c r="C59" s="25" t="s">
        <v>94</v>
      </c>
      <c r="F59" s="1"/>
      <c r="G59" s="3"/>
    </row>
    <row r="60" spans="1:7">
      <c r="A60" s="23">
        <v>59</v>
      </c>
      <c r="B60" s="17" t="s">
        <v>1542</v>
      </c>
      <c r="C60" s="25" t="s">
        <v>200</v>
      </c>
      <c r="F60" s="1"/>
      <c r="G60" s="3"/>
    </row>
    <row r="61" spans="1:7">
      <c r="A61" s="23">
        <v>60</v>
      </c>
      <c r="B61" s="17" t="s">
        <v>1543</v>
      </c>
      <c r="C61" s="25" t="s">
        <v>94</v>
      </c>
      <c r="F61" s="1"/>
      <c r="G61" s="3"/>
    </row>
    <row r="62" spans="1:7">
      <c r="A62" s="23">
        <v>61</v>
      </c>
      <c r="B62" s="17" t="s">
        <v>1544</v>
      </c>
      <c r="C62" s="25" t="s">
        <v>52</v>
      </c>
      <c r="F62" s="1"/>
      <c r="G62" s="3"/>
    </row>
    <row r="63" spans="1:7">
      <c r="A63" s="23">
        <v>62</v>
      </c>
      <c r="B63" s="17" t="s">
        <v>1545</v>
      </c>
      <c r="C63" s="25" t="s">
        <v>94</v>
      </c>
      <c r="F63" s="1"/>
      <c r="G63" s="3"/>
    </row>
    <row r="64" spans="1:7">
      <c r="A64" s="23">
        <v>63</v>
      </c>
      <c r="B64" s="17" t="s">
        <v>1546</v>
      </c>
      <c r="C64" s="25" t="s">
        <v>200</v>
      </c>
      <c r="F64" s="1"/>
      <c r="G64" s="3"/>
    </row>
    <row r="65" spans="1:7">
      <c r="A65" s="23">
        <v>64</v>
      </c>
      <c r="B65" s="17" t="s">
        <v>1547</v>
      </c>
      <c r="C65" s="25" t="s">
        <v>110</v>
      </c>
      <c r="F65" s="1"/>
      <c r="G65" s="3"/>
    </row>
    <row r="66" spans="1:7">
      <c r="A66" s="23">
        <v>65</v>
      </c>
      <c r="B66" s="17" t="s">
        <v>1548</v>
      </c>
      <c r="C66" s="25" t="s">
        <v>94</v>
      </c>
      <c r="F66" s="1"/>
      <c r="G66" s="3"/>
    </row>
    <row r="67" spans="1:7">
      <c r="A67" s="23">
        <v>66</v>
      </c>
      <c r="B67" s="17" t="s">
        <v>1549</v>
      </c>
      <c r="C67" s="25" t="s">
        <v>102</v>
      </c>
      <c r="F67" s="1"/>
      <c r="G67" s="3"/>
    </row>
    <row r="68" spans="1:7">
      <c r="A68" s="23">
        <v>67</v>
      </c>
      <c r="B68" s="17" t="s">
        <v>1550</v>
      </c>
      <c r="C68" s="25" t="s">
        <v>94</v>
      </c>
      <c r="F68" s="1"/>
      <c r="G68" s="3"/>
    </row>
    <row r="69" spans="1:7">
      <c r="A69" s="23">
        <v>68</v>
      </c>
      <c r="B69" s="17" t="s">
        <v>1551</v>
      </c>
      <c r="C69" s="25" t="s">
        <v>94</v>
      </c>
      <c r="F69" s="1"/>
      <c r="G69" s="3"/>
    </row>
    <row r="70" spans="1:7">
      <c r="A70" s="23">
        <v>69</v>
      </c>
      <c r="B70" s="17" t="s">
        <v>1552</v>
      </c>
      <c r="C70" s="25" t="s">
        <v>94</v>
      </c>
      <c r="F70" s="1"/>
      <c r="G70" s="3"/>
    </row>
    <row r="71" spans="1:7">
      <c r="A71" s="23">
        <v>70</v>
      </c>
      <c r="B71" s="17" t="s">
        <v>1553</v>
      </c>
      <c r="C71" s="25" t="s">
        <v>86</v>
      </c>
      <c r="F71" s="1"/>
      <c r="G71" s="3"/>
    </row>
    <row r="72" spans="1:7">
      <c r="A72" s="23">
        <v>71</v>
      </c>
      <c r="B72" s="17" t="s">
        <v>1554</v>
      </c>
      <c r="C72" s="25" t="s">
        <v>70</v>
      </c>
      <c r="F72" s="1"/>
      <c r="G72" s="3"/>
    </row>
    <row r="73" spans="1:7">
      <c r="A73" s="23">
        <v>72</v>
      </c>
      <c r="B73" s="17" t="s">
        <v>1555</v>
      </c>
      <c r="C73" s="25" t="s">
        <v>36</v>
      </c>
      <c r="F73" s="1"/>
      <c r="G73" s="3"/>
    </row>
    <row r="74" spans="1:7">
      <c r="A74" s="23">
        <v>73</v>
      </c>
      <c r="B74" s="17" t="s">
        <v>1556</v>
      </c>
      <c r="C74" s="25" t="s">
        <v>122</v>
      </c>
      <c r="F74" s="1"/>
      <c r="G74" s="3"/>
    </row>
    <row r="75" spans="1:7">
      <c r="A75" s="23">
        <v>74</v>
      </c>
      <c r="B75" s="17" t="s">
        <v>1557</v>
      </c>
      <c r="C75" s="25" t="s">
        <v>102</v>
      </c>
      <c r="F75" s="1"/>
      <c r="G75" s="3"/>
    </row>
    <row r="76" spans="1:7">
      <c r="A76" s="23">
        <v>75</v>
      </c>
      <c r="B76" s="17" t="s">
        <v>1558</v>
      </c>
      <c r="C76" s="25" t="s">
        <v>126</v>
      </c>
      <c r="F76" s="1"/>
      <c r="G76" s="3"/>
    </row>
    <row r="77" spans="1:7">
      <c r="A77" s="23">
        <v>76</v>
      </c>
      <c r="B77" s="17" t="s">
        <v>1559</v>
      </c>
      <c r="C77" s="25" t="s">
        <v>90</v>
      </c>
      <c r="F77" s="1"/>
      <c r="G77" s="3"/>
    </row>
    <row r="78" spans="1:7">
      <c r="A78" s="23">
        <v>77</v>
      </c>
      <c r="B78" s="17" t="s">
        <v>1560</v>
      </c>
      <c r="C78" s="25" t="s">
        <v>102</v>
      </c>
      <c r="F78" s="1"/>
      <c r="G78" s="3"/>
    </row>
    <row r="79" spans="1:7">
      <c r="A79" s="23">
        <v>78</v>
      </c>
      <c r="B79" s="17" t="s">
        <v>1561</v>
      </c>
      <c r="C79" s="25" t="s">
        <v>126</v>
      </c>
      <c r="F79" s="1"/>
      <c r="G79" s="3"/>
    </row>
    <row r="80" spans="1:7">
      <c r="A80" s="23">
        <v>79</v>
      </c>
      <c r="B80" s="17" t="s">
        <v>1562</v>
      </c>
      <c r="C80" s="25" t="s">
        <v>94</v>
      </c>
      <c r="F80" s="1"/>
      <c r="G80" s="3"/>
    </row>
    <row r="81" spans="1:7">
      <c r="A81" s="23">
        <v>80</v>
      </c>
      <c r="B81" s="17" t="s">
        <v>1563</v>
      </c>
      <c r="C81" s="25" t="s">
        <v>1564</v>
      </c>
      <c r="F81" s="1"/>
      <c r="G81" s="3"/>
    </row>
    <row r="82" spans="1:7">
      <c r="A82" s="23">
        <v>81</v>
      </c>
      <c r="B82" s="17" t="s">
        <v>1565</v>
      </c>
      <c r="C82" s="25" t="s">
        <v>110</v>
      </c>
      <c r="F82" s="1"/>
      <c r="G82" s="3"/>
    </row>
    <row r="83" spans="1:7">
      <c r="A83" s="23">
        <v>82</v>
      </c>
      <c r="B83" s="17" t="s">
        <v>1566</v>
      </c>
      <c r="C83" s="25" t="s">
        <v>200</v>
      </c>
      <c r="F83" s="1"/>
      <c r="G83" s="3"/>
    </row>
    <row r="84" spans="1:7">
      <c r="A84" s="23">
        <v>83</v>
      </c>
      <c r="B84" s="17" t="s">
        <v>1567</v>
      </c>
      <c r="C84" s="25" t="s">
        <v>122</v>
      </c>
      <c r="F84" s="1"/>
      <c r="G84" s="3"/>
    </row>
    <row r="85" spans="1:7">
      <c r="A85" s="23">
        <v>84</v>
      </c>
      <c r="B85" s="17" t="s">
        <v>1568</v>
      </c>
      <c r="C85" s="25" t="s">
        <v>122</v>
      </c>
      <c r="F85" s="1"/>
      <c r="G85" s="3"/>
    </row>
    <row r="86" spans="1:7">
      <c r="A86" s="23">
        <v>85</v>
      </c>
      <c r="B86" s="17" t="s">
        <v>1569</v>
      </c>
      <c r="C86" s="25" t="s">
        <v>1570</v>
      </c>
      <c r="F86" s="1"/>
      <c r="G86" s="3"/>
    </row>
    <row r="87" spans="1:7">
      <c r="A87" s="23">
        <v>86</v>
      </c>
      <c r="B87" s="17" t="s">
        <v>1571</v>
      </c>
      <c r="C87" s="25" t="s">
        <v>122</v>
      </c>
      <c r="F87" s="1"/>
      <c r="G87" s="3"/>
    </row>
    <row r="88" spans="1:7">
      <c r="A88" s="23">
        <v>87</v>
      </c>
      <c r="B88" s="17" t="s">
        <v>1572</v>
      </c>
      <c r="C88" s="25" t="s">
        <v>27</v>
      </c>
      <c r="F88" s="1"/>
      <c r="G88" s="3"/>
    </row>
    <row r="89" spans="1:7">
      <c r="A89" s="23">
        <v>88</v>
      </c>
      <c r="B89" s="17" t="s">
        <v>1573</v>
      </c>
      <c r="C89" s="25" t="s">
        <v>122</v>
      </c>
      <c r="F89" s="1"/>
      <c r="G89" s="3"/>
    </row>
    <row r="90" spans="1:7">
      <c r="A90" s="23">
        <v>89</v>
      </c>
      <c r="B90" s="17" t="s">
        <v>1574</v>
      </c>
      <c r="C90" s="25" t="s">
        <v>1575</v>
      </c>
      <c r="F90" s="1"/>
      <c r="G90" s="3"/>
    </row>
    <row r="91" spans="1:7">
      <c r="A91" s="23">
        <v>90</v>
      </c>
      <c r="B91" s="17" t="s">
        <v>1576</v>
      </c>
      <c r="C91" s="25" t="s">
        <v>180</v>
      </c>
      <c r="F91" s="1"/>
      <c r="G91" s="3"/>
    </row>
    <row r="92" spans="1:7">
      <c r="A92" s="23">
        <v>91</v>
      </c>
      <c r="B92" s="17" t="s">
        <v>1577</v>
      </c>
      <c r="C92" s="25" t="s">
        <v>90</v>
      </c>
      <c r="F92" s="1"/>
      <c r="G92" s="3"/>
    </row>
    <row r="93" spans="1:7">
      <c r="A93" s="23">
        <v>92</v>
      </c>
      <c r="B93" s="17" t="s">
        <v>1578</v>
      </c>
      <c r="C93" s="25" t="s">
        <v>126</v>
      </c>
      <c r="F93" s="1"/>
      <c r="G93" s="3"/>
    </row>
    <row r="94" spans="1:7">
      <c r="A94" s="23">
        <v>93</v>
      </c>
      <c r="B94" s="17" t="s">
        <v>1579</v>
      </c>
      <c r="C94" s="25" t="s">
        <v>188</v>
      </c>
      <c r="F94" s="1"/>
      <c r="G94" s="3"/>
    </row>
    <row r="95" spans="1:7">
      <c r="A95" s="23">
        <v>94</v>
      </c>
      <c r="B95" s="17" t="s">
        <v>1580</v>
      </c>
      <c r="C95" s="25" t="s">
        <v>1581</v>
      </c>
      <c r="F95" s="1"/>
      <c r="G95" s="3"/>
    </row>
    <row r="96" spans="1:7">
      <c r="A96" s="23">
        <v>95</v>
      </c>
      <c r="B96" s="17" t="s">
        <v>1582</v>
      </c>
      <c r="C96" s="25" t="s">
        <v>134</v>
      </c>
      <c r="F96" s="1"/>
      <c r="G96" s="3"/>
    </row>
    <row r="97" spans="1:7">
      <c r="A97" s="23">
        <v>96</v>
      </c>
      <c r="B97" s="17" t="s">
        <v>1583</v>
      </c>
      <c r="C97" s="25" t="s">
        <v>200</v>
      </c>
      <c r="F97" s="1"/>
      <c r="G97" s="3"/>
    </row>
    <row r="98" spans="1:7">
      <c r="A98" s="23">
        <v>97</v>
      </c>
      <c r="B98" s="17" t="s">
        <v>1584</v>
      </c>
      <c r="C98" s="25" t="s">
        <v>86</v>
      </c>
      <c r="F98" s="1"/>
      <c r="G98" s="3"/>
    </row>
    <row r="99" spans="1:7">
      <c r="A99" s="23">
        <v>98</v>
      </c>
      <c r="B99" s="17" t="s">
        <v>1585</v>
      </c>
      <c r="C99" s="25" t="s">
        <v>94</v>
      </c>
      <c r="F99" s="1"/>
      <c r="G99" s="3"/>
    </row>
    <row r="100" spans="1:7">
      <c r="A100" s="23">
        <v>99</v>
      </c>
      <c r="B100" s="17" t="s">
        <v>1586</v>
      </c>
      <c r="C100" s="25" t="s">
        <v>94</v>
      </c>
      <c r="F100" s="1"/>
      <c r="G100" s="3"/>
    </row>
    <row r="101" spans="1:7">
      <c r="A101" s="23">
        <v>100</v>
      </c>
      <c r="B101" s="17" t="s">
        <v>1587</v>
      </c>
      <c r="C101" s="25" t="s">
        <v>130</v>
      </c>
      <c r="F101" s="1"/>
      <c r="G101" s="3"/>
    </row>
    <row r="102" spans="1:7">
      <c r="A102" s="23">
        <v>101</v>
      </c>
      <c r="B102" s="17" t="s">
        <v>1588</v>
      </c>
      <c r="C102" s="25" t="s">
        <v>122</v>
      </c>
      <c r="F102" s="1"/>
      <c r="G102" s="3"/>
    </row>
    <row r="103" spans="1:7">
      <c r="A103" s="23">
        <v>102</v>
      </c>
      <c r="B103" s="17" t="s">
        <v>1589</v>
      </c>
      <c r="C103" s="25" t="s">
        <v>1590</v>
      </c>
      <c r="F103" s="1"/>
      <c r="G103" s="3"/>
    </row>
    <row r="104" spans="1:7">
      <c r="A104" s="23">
        <v>103</v>
      </c>
      <c r="B104" s="17" t="s">
        <v>1591</v>
      </c>
      <c r="C104" s="25" t="s">
        <v>1592</v>
      </c>
      <c r="F104" s="1"/>
      <c r="G104" s="3"/>
    </row>
    <row r="105" spans="1:7">
      <c r="A105" s="23">
        <v>104</v>
      </c>
      <c r="B105" s="17" t="s">
        <v>1593</v>
      </c>
      <c r="C105" s="25" t="s">
        <v>90</v>
      </c>
      <c r="F105" s="1"/>
      <c r="G105" s="3"/>
    </row>
    <row r="106" spans="1:7">
      <c r="A106" s="23">
        <v>105</v>
      </c>
      <c r="B106" s="17" t="s">
        <v>1594</v>
      </c>
      <c r="C106" s="25" t="s">
        <v>153</v>
      </c>
      <c r="F106" s="1"/>
      <c r="G106" s="3"/>
    </row>
    <row r="107" spans="1:7">
      <c r="A107" s="23">
        <v>106</v>
      </c>
      <c r="B107" s="17" t="s">
        <v>1595</v>
      </c>
      <c r="C107" s="25" t="s">
        <v>145</v>
      </c>
      <c r="F107" s="1"/>
      <c r="G107" s="3"/>
    </row>
    <row r="108" spans="1:7">
      <c r="A108" s="23">
        <v>107</v>
      </c>
      <c r="B108" s="17" t="s">
        <v>1596</v>
      </c>
      <c r="C108" s="25" t="s">
        <v>102</v>
      </c>
      <c r="F108" s="1"/>
      <c r="G108" s="3"/>
    </row>
    <row r="109" spans="1:7">
      <c r="A109" s="23">
        <v>108</v>
      </c>
      <c r="B109" s="17" t="s">
        <v>1597</v>
      </c>
      <c r="C109" s="25" t="s">
        <v>153</v>
      </c>
      <c r="F109" s="1"/>
      <c r="G109" s="3"/>
    </row>
    <row r="110" spans="1:7">
      <c r="A110" s="23">
        <v>109</v>
      </c>
      <c r="B110" s="17" t="s">
        <v>1598</v>
      </c>
      <c r="C110" s="25" t="s">
        <v>149</v>
      </c>
      <c r="F110" s="1"/>
      <c r="G110" s="3"/>
    </row>
    <row r="111" spans="1:7">
      <c r="A111" s="23">
        <v>110</v>
      </c>
      <c r="B111" s="17" t="s">
        <v>1599</v>
      </c>
      <c r="C111" s="25" t="s">
        <v>200</v>
      </c>
      <c r="F111" s="1"/>
      <c r="G111" s="3"/>
    </row>
    <row r="112" spans="1:7">
      <c r="A112" s="23">
        <v>111</v>
      </c>
      <c r="B112" s="17" t="s">
        <v>1600</v>
      </c>
      <c r="C112" s="25" t="s">
        <v>134</v>
      </c>
      <c r="F112" s="1"/>
      <c r="G112" s="3"/>
    </row>
    <row r="113" spans="1:7">
      <c r="A113" s="23">
        <v>112</v>
      </c>
      <c r="B113" s="17" t="s">
        <v>1601</v>
      </c>
      <c r="C113" s="25" t="s">
        <v>52</v>
      </c>
      <c r="F113" s="1"/>
      <c r="G113" s="3"/>
    </row>
    <row r="114" spans="1:7">
      <c r="A114" s="23">
        <v>113</v>
      </c>
      <c r="B114" s="17" t="s">
        <v>1602</v>
      </c>
      <c r="C114" s="25" t="s">
        <v>94</v>
      </c>
      <c r="F114" s="1"/>
      <c r="G114" s="3"/>
    </row>
    <row r="115" spans="1:7">
      <c r="A115" s="23">
        <v>114</v>
      </c>
      <c r="B115" s="17" t="s">
        <v>1603</v>
      </c>
      <c r="C115" s="25" t="s">
        <v>94</v>
      </c>
      <c r="F115" s="1"/>
      <c r="G115" s="3"/>
    </row>
    <row r="116" spans="1:7">
      <c r="A116" s="23">
        <v>115</v>
      </c>
      <c r="B116" s="17" t="s">
        <v>1604</v>
      </c>
      <c r="C116" s="25" t="s">
        <v>153</v>
      </c>
      <c r="F116" s="1"/>
      <c r="G116" s="3"/>
    </row>
    <row r="117" spans="1:7">
      <c r="A117" s="23">
        <v>116</v>
      </c>
      <c r="B117" s="17" t="s">
        <v>1605</v>
      </c>
      <c r="C117" s="25" t="s">
        <v>122</v>
      </c>
      <c r="F117" s="1"/>
      <c r="G117" s="3"/>
    </row>
    <row r="118" spans="1:7">
      <c r="A118" s="23">
        <v>117</v>
      </c>
      <c r="B118" s="17" t="s">
        <v>1606</v>
      </c>
      <c r="C118" s="25" t="s">
        <v>61</v>
      </c>
      <c r="F118" s="1"/>
      <c r="G118" s="3"/>
    </row>
    <row r="119" spans="1:7">
      <c r="A119" s="23">
        <v>118</v>
      </c>
      <c r="B119" s="17" t="s">
        <v>1607</v>
      </c>
      <c r="C119" s="25" t="s">
        <v>32</v>
      </c>
      <c r="F119" s="1"/>
      <c r="G119" s="3"/>
    </row>
    <row r="120" spans="1:7">
      <c r="A120" s="23">
        <v>119</v>
      </c>
      <c r="B120" s="17" t="s">
        <v>1608</v>
      </c>
      <c r="C120" s="25" t="s">
        <v>98</v>
      </c>
      <c r="F120" s="1"/>
      <c r="G120" s="3"/>
    </row>
    <row r="121" spans="1:7">
      <c r="A121" s="23">
        <v>120</v>
      </c>
      <c r="B121" s="17" t="s">
        <v>1609</v>
      </c>
      <c r="C121" s="25" t="s">
        <v>122</v>
      </c>
      <c r="F121" s="1"/>
      <c r="G121" s="3"/>
    </row>
    <row r="122" spans="1:7">
      <c r="A122" s="23">
        <v>121</v>
      </c>
      <c r="B122" s="17" t="s">
        <v>1610</v>
      </c>
      <c r="C122" s="25" t="s">
        <v>94</v>
      </c>
      <c r="F122" s="1"/>
      <c r="G122" s="3"/>
    </row>
    <row r="123" spans="1:7">
      <c r="A123" s="23">
        <v>122</v>
      </c>
      <c r="B123" s="17" t="s">
        <v>1611</v>
      </c>
      <c r="C123" s="25" t="s">
        <v>102</v>
      </c>
      <c r="F123" s="1"/>
      <c r="G123" s="3"/>
    </row>
    <row r="124" spans="1:7">
      <c r="A124" s="23">
        <v>123</v>
      </c>
      <c r="B124" s="17" t="s">
        <v>1612</v>
      </c>
      <c r="C124" s="25" t="s">
        <v>110</v>
      </c>
      <c r="F124" s="1"/>
      <c r="G124" s="3"/>
    </row>
    <row r="125" spans="1:7">
      <c r="A125" s="23">
        <v>124</v>
      </c>
      <c r="B125" s="17" t="s">
        <v>1613</v>
      </c>
      <c r="C125" s="25" t="s">
        <v>1614</v>
      </c>
      <c r="F125" s="1"/>
      <c r="G125" s="3"/>
    </row>
    <row r="126" spans="1:7">
      <c r="A126" s="23">
        <v>125</v>
      </c>
      <c r="B126" s="17" t="s">
        <v>1615</v>
      </c>
      <c r="C126" s="25" t="s">
        <v>102</v>
      </c>
      <c r="F126" s="1"/>
      <c r="G126" s="3"/>
    </row>
    <row r="127" spans="1:7">
      <c r="A127" s="23">
        <v>126</v>
      </c>
      <c r="B127" s="17" t="s">
        <v>1616</v>
      </c>
      <c r="C127" s="25" t="s">
        <v>64</v>
      </c>
      <c r="F127" s="1"/>
      <c r="G127" s="3"/>
    </row>
    <row r="128" spans="1:7">
      <c r="A128" s="23">
        <v>127</v>
      </c>
      <c r="B128" s="17" t="s">
        <v>1617</v>
      </c>
      <c r="C128" s="25" t="s">
        <v>122</v>
      </c>
      <c r="F128" s="1"/>
      <c r="G128" s="3"/>
    </row>
    <row r="129" spans="1:7">
      <c r="A129" s="23">
        <v>128</v>
      </c>
      <c r="B129" s="17" t="s">
        <v>1618</v>
      </c>
      <c r="C129" s="25" t="s">
        <v>110</v>
      </c>
      <c r="F129" s="1"/>
      <c r="G129" s="3"/>
    </row>
    <row r="130" spans="1:7">
      <c r="A130" s="23">
        <v>129</v>
      </c>
      <c r="B130" s="17" t="s">
        <v>1619</v>
      </c>
      <c r="C130" s="25" t="s">
        <v>145</v>
      </c>
      <c r="F130" s="1"/>
      <c r="G130" s="3"/>
    </row>
    <row r="131" spans="1:7">
      <c r="A131" s="23">
        <v>130</v>
      </c>
      <c r="B131" s="17" t="s">
        <v>1620</v>
      </c>
      <c r="C131" s="25" t="s">
        <v>90</v>
      </c>
      <c r="F131" s="1"/>
      <c r="G131" s="3"/>
    </row>
    <row r="132" spans="1:7">
      <c r="A132" s="23">
        <v>131</v>
      </c>
      <c r="B132" s="17" t="s">
        <v>1621</v>
      </c>
      <c r="C132" s="25" t="s">
        <v>58</v>
      </c>
      <c r="F132" s="1"/>
      <c r="G132" s="3"/>
    </row>
    <row r="133" spans="1:7">
      <c r="A133" s="23">
        <v>132</v>
      </c>
      <c r="B133" s="17" t="s">
        <v>1622</v>
      </c>
      <c r="C133" s="25" t="s">
        <v>708</v>
      </c>
      <c r="F133" s="1"/>
      <c r="G133" s="3"/>
    </row>
    <row r="134" spans="1:7">
      <c r="A134" s="23">
        <v>133</v>
      </c>
      <c r="B134" s="17" t="s">
        <v>1623</v>
      </c>
      <c r="C134" s="25" t="s">
        <v>64</v>
      </c>
      <c r="F134" s="1"/>
      <c r="G134" s="3"/>
    </row>
    <row r="135" spans="1:7">
      <c r="A135" s="23">
        <v>134</v>
      </c>
      <c r="B135" s="17" t="s">
        <v>1624</v>
      </c>
      <c r="C135" s="25" t="s">
        <v>134</v>
      </c>
      <c r="F135" s="1"/>
      <c r="G135" s="3"/>
    </row>
    <row r="136" spans="1:7">
      <c r="A136" s="23">
        <v>135</v>
      </c>
      <c r="B136" s="17" t="s">
        <v>1625</v>
      </c>
      <c r="C136" s="25" t="s">
        <v>94</v>
      </c>
      <c r="F136" s="1"/>
      <c r="G136" s="3"/>
    </row>
    <row r="137" spans="1:7">
      <c r="A137" s="23">
        <v>136</v>
      </c>
      <c r="B137" s="17" t="s">
        <v>1626</v>
      </c>
      <c r="C137" s="25" t="s">
        <v>39</v>
      </c>
      <c r="F137" s="1"/>
      <c r="G137" s="3"/>
    </row>
    <row r="138" spans="1:7">
      <c r="A138" s="23">
        <v>137</v>
      </c>
      <c r="B138" s="17" t="s">
        <v>1627</v>
      </c>
      <c r="C138" s="25" t="s">
        <v>122</v>
      </c>
      <c r="F138" s="1"/>
      <c r="G138" s="3"/>
    </row>
    <row r="139" spans="1:7">
      <c r="A139" s="23">
        <v>138</v>
      </c>
      <c r="B139" s="17" t="s">
        <v>1628</v>
      </c>
      <c r="C139" s="25" t="s">
        <v>1629</v>
      </c>
      <c r="F139" s="1"/>
      <c r="G139" s="3"/>
    </row>
    <row r="140" spans="1:7">
      <c r="A140" s="23">
        <v>139</v>
      </c>
      <c r="B140" s="17" t="s">
        <v>1630</v>
      </c>
      <c r="C140" s="25" t="s">
        <v>73</v>
      </c>
      <c r="F140" s="1"/>
      <c r="G140" s="3"/>
    </row>
    <row r="141" spans="1:7">
      <c r="A141" s="23">
        <v>140</v>
      </c>
      <c r="B141" s="17" t="s">
        <v>1631</v>
      </c>
      <c r="C141" s="25" t="s">
        <v>98</v>
      </c>
      <c r="F141" s="1"/>
      <c r="G141" s="3"/>
    </row>
    <row r="142" spans="1:7">
      <c r="A142" s="23">
        <v>141</v>
      </c>
      <c r="B142" s="17" t="s">
        <v>1632</v>
      </c>
      <c r="C142" s="25" t="s">
        <v>118</v>
      </c>
      <c r="F142" s="1"/>
      <c r="G142" s="3"/>
    </row>
    <row r="143" spans="1:7">
      <c r="A143" s="23">
        <v>142</v>
      </c>
      <c r="B143" s="17" t="s">
        <v>1633</v>
      </c>
      <c r="C143" s="25" t="s">
        <v>64</v>
      </c>
      <c r="F143" s="1"/>
      <c r="G143" s="3"/>
    </row>
    <row r="144" spans="1:7">
      <c r="A144" s="23">
        <v>143</v>
      </c>
      <c r="B144" s="17" t="s">
        <v>1634</v>
      </c>
      <c r="C144" s="25" t="s">
        <v>126</v>
      </c>
      <c r="F144" s="1"/>
      <c r="G144" s="3"/>
    </row>
    <row r="145" spans="1:7">
      <c r="A145" s="23">
        <v>144</v>
      </c>
      <c r="B145" s="17" t="s">
        <v>1635</v>
      </c>
      <c r="C145" s="25" t="s">
        <v>98</v>
      </c>
      <c r="F145" s="1"/>
      <c r="G145" s="3"/>
    </row>
    <row r="146" spans="1:7">
      <c r="A146" s="23">
        <v>145</v>
      </c>
      <c r="B146" s="17" t="s">
        <v>1636</v>
      </c>
      <c r="C146" s="25" t="s">
        <v>94</v>
      </c>
      <c r="F146" s="1"/>
      <c r="G146" s="3"/>
    </row>
    <row r="147" spans="1:7">
      <c r="A147" s="23">
        <v>146</v>
      </c>
      <c r="B147" s="17" t="s">
        <v>1637</v>
      </c>
      <c r="C147" s="25" t="s">
        <v>73</v>
      </c>
      <c r="F147" s="1"/>
      <c r="G147" s="3"/>
    </row>
    <row r="148" spans="1:7">
      <c r="A148" s="23">
        <v>147</v>
      </c>
      <c r="B148" s="17" t="s">
        <v>1638</v>
      </c>
      <c r="C148" s="25" t="s">
        <v>94</v>
      </c>
      <c r="F148" s="1"/>
      <c r="G148" s="3"/>
    </row>
    <row r="149" spans="1:7">
      <c r="A149" s="23">
        <v>148</v>
      </c>
      <c r="B149" s="17" t="s">
        <v>1639</v>
      </c>
      <c r="C149" s="25" t="s">
        <v>70</v>
      </c>
      <c r="F149" s="1"/>
      <c r="G149" s="3"/>
    </row>
    <row r="150" spans="1:7">
      <c r="A150" s="23">
        <v>149</v>
      </c>
      <c r="B150" s="17" t="s">
        <v>1640</v>
      </c>
      <c r="C150" s="25" t="s">
        <v>122</v>
      </c>
      <c r="F150" s="1"/>
      <c r="G150" s="3"/>
    </row>
    <row r="151" spans="1:7">
      <c r="A151" s="23">
        <v>150</v>
      </c>
      <c r="B151" s="17" t="s">
        <v>1641</v>
      </c>
      <c r="C151" s="25" t="s">
        <v>110</v>
      </c>
      <c r="F151" s="1"/>
      <c r="G151" s="3"/>
    </row>
    <row r="152" spans="1:7">
      <c r="A152" s="23">
        <v>151</v>
      </c>
      <c r="B152" s="17" t="s">
        <v>1642</v>
      </c>
      <c r="C152" s="25" t="s">
        <v>1564</v>
      </c>
      <c r="F152" s="1"/>
      <c r="G152" s="3"/>
    </row>
    <row r="153" spans="1:7">
      <c r="A153" s="23">
        <v>152</v>
      </c>
      <c r="B153" s="17" t="s">
        <v>1643</v>
      </c>
      <c r="C153" s="25" t="s">
        <v>94</v>
      </c>
      <c r="F153" s="1"/>
      <c r="G153" s="3"/>
    </row>
    <row r="154" spans="1:7">
      <c r="A154" s="23">
        <v>153</v>
      </c>
      <c r="B154" s="17" t="s">
        <v>1644</v>
      </c>
      <c r="C154" s="25" t="s">
        <v>126</v>
      </c>
      <c r="F154" s="1"/>
      <c r="G154" s="3"/>
    </row>
    <row r="155" spans="1:7">
      <c r="A155" s="23">
        <v>154</v>
      </c>
      <c r="B155" s="17" t="s">
        <v>1645</v>
      </c>
      <c r="C155" s="25" t="s">
        <v>114</v>
      </c>
      <c r="F155" s="1"/>
      <c r="G155" s="3"/>
    </row>
    <row r="156" spans="1:7">
      <c r="A156" s="23">
        <v>155</v>
      </c>
      <c r="B156" s="17" t="s">
        <v>1646</v>
      </c>
      <c r="C156" s="25" t="s">
        <v>126</v>
      </c>
      <c r="F156" s="1"/>
      <c r="G156" s="3"/>
    </row>
    <row r="157" spans="1:7">
      <c r="A157" s="23">
        <v>156</v>
      </c>
      <c r="B157" s="17" t="s">
        <v>1647</v>
      </c>
      <c r="C157" s="25" t="s">
        <v>110</v>
      </c>
      <c r="F157" s="1"/>
      <c r="G157" s="3"/>
    </row>
    <row r="158" spans="1:7">
      <c r="A158" s="23">
        <v>157</v>
      </c>
      <c r="B158" s="17" t="s">
        <v>1648</v>
      </c>
      <c r="C158" s="25" t="s">
        <v>94</v>
      </c>
      <c r="F158" s="1"/>
      <c r="G158" s="3"/>
    </row>
    <row r="159" spans="1:7">
      <c r="A159" s="23">
        <v>158</v>
      </c>
      <c r="B159" s="17" t="s">
        <v>1649</v>
      </c>
      <c r="C159" s="25" t="s">
        <v>122</v>
      </c>
      <c r="F159" s="1"/>
      <c r="G159" s="3"/>
    </row>
    <row r="160" spans="1:7">
      <c r="A160" s="23">
        <v>159</v>
      </c>
      <c r="B160" s="17" t="s">
        <v>1650</v>
      </c>
      <c r="C160" s="25" t="s">
        <v>126</v>
      </c>
      <c r="F160" s="1"/>
      <c r="G160" s="3"/>
    </row>
    <row r="161" spans="1:7">
      <c r="A161" s="23">
        <v>160</v>
      </c>
      <c r="B161" s="17" t="s">
        <v>1651</v>
      </c>
      <c r="C161" s="25" t="s">
        <v>145</v>
      </c>
      <c r="F161" s="1"/>
      <c r="G161" s="3"/>
    </row>
    <row r="162" spans="1:7">
      <c r="A162" s="23">
        <v>161</v>
      </c>
      <c r="B162" s="17" t="s">
        <v>28</v>
      </c>
      <c r="C162" s="25" t="s">
        <v>86</v>
      </c>
      <c r="F162" s="1"/>
      <c r="G162" s="3"/>
    </row>
    <row r="163" spans="1:7">
      <c r="A163" s="23">
        <v>162</v>
      </c>
      <c r="B163" s="17" t="s">
        <v>1652</v>
      </c>
      <c r="C163" s="25" t="s">
        <v>1653</v>
      </c>
      <c r="F163" s="1"/>
      <c r="G163" s="3"/>
    </row>
    <row r="164" spans="1:7">
      <c r="A164" s="23">
        <v>163</v>
      </c>
      <c r="B164" s="17" t="s">
        <v>1654</v>
      </c>
      <c r="C164" s="25" t="s">
        <v>94</v>
      </c>
      <c r="F164" s="1"/>
      <c r="G164" s="3"/>
    </row>
    <row r="165" spans="1:7">
      <c r="A165" s="23">
        <v>164</v>
      </c>
      <c r="B165" s="17" t="s">
        <v>1655</v>
      </c>
      <c r="C165" s="25" t="s">
        <v>110</v>
      </c>
      <c r="F165" s="1"/>
      <c r="G165" s="3"/>
    </row>
    <row r="166" spans="1:7">
      <c r="A166" s="23">
        <v>165</v>
      </c>
      <c r="B166" s="17" t="s">
        <v>1656</v>
      </c>
      <c r="C166" s="25" t="s">
        <v>102</v>
      </c>
      <c r="F166" s="1"/>
      <c r="G166" s="3"/>
    </row>
    <row r="167" spans="1:7">
      <c r="A167" s="23">
        <v>166</v>
      </c>
      <c r="B167" s="17" t="s">
        <v>1657</v>
      </c>
      <c r="C167" s="25" t="s">
        <v>102</v>
      </c>
      <c r="F167" s="1"/>
      <c r="G167" s="3"/>
    </row>
    <row r="168" spans="1:7">
      <c r="A168" s="23">
        <v>167</v>
      </c>
      <c r="B168" s="17" t="s">
        <v>1658</v>
      </c>
      <c r="C168" s="25" t="s">
        <v>122</v>
      </c>
      <c r="F168" s="1"/>
      <c r="G168" s="3"/>
    </row>
    <row r="169" spans="1:7">
      <c r="A169" s="23">
        <v>168</v>
      </c>
      <c r="B169" s="17" t="s">
        <v>1659</v>
      </c>
      <c r="C169" s="25" t="s">
        <v>98</v>
      </c>
      <c r="F169" s="1"/>
      <c r="G169" s="3"/>
    </row>
    <row r="170" spans="1:7">
      <c r="A170" s="23">
        <v>169</v>
      </c>
      <c r="B170" s="17" t="s">
        <v>1660</v>
      </c>
      <c r="C170" s="25" t="s">
        <v>176</v>
      </c>
      <c r="F170" s="1"/>
      <c r="G170" s="3"/>
    </row>
    <row r="171" spans="1:7">
      <c r="A171" s="23">
        <v>170</v>
      </c>
      <c r="B171" s="17" t="s">
        <v>1661</v>
      </c>
      <c r="C171" s="25" t="s">
        <v>1032</v>
      </c>
      <c r="F171" s="1"/>
      <c r="G171" s="3"/>
    </row>
    <row r="172" spans="1:7">
      <c r="A172" s="23">
        <v>171</v>
      </c>
      <c r="B172" s="17" t="s">
        <v>1662</v>
      </c>
      <c r="C172" s="25" t="s">
        <v>200</v>
      </c>
      <c r="F172" s="1"/>
      <c r="G172" s="3"/>
    </row>
    <row r="173" spans="1:7">
      <c r="A173" s="23">
        <v>172</v>
      </c>
      <c r="B173" s="17" t="s">
        <v>1663</v>
      </c>
      <c r="C173" s="25" t="s">
        <v>145</v>
      </c>
      <c r="F173" s="1"/>
      <c r="G173" s="3"/>
    </row>
    <row r="174" spans="1:7">
      <c r="A174" s="23">
        <v>173</v>
      </c>
      <c r="B174" s="17" t="s">
        <v>1664</v>
      </c>
      <c r="C174" s="25" t="s">
        <v>145</v>
      </c>
      <c r="F174" s="1"/>
      <c r="G174" s="3"/>
    </row>
    <row r="175" spans="1:7">
      <c r="A175" s="23">
        <v>174</v>
      </c>
      <c r="B175" s="17" t="s">
        <v>1665</v>
      </c>
      <c r="C175" s="25" t="s">
        <v>153</v>
      </c>
      <c r="F175" s="1"/>
      <c r="G175" s="3"/>
    </row>
    <row r="176" spans="1:7">
      <c r="A176" s="23">
        <v>175</v>
      </c>
      <c r="B176" s="17" t="s">
        <v>1666</v>
      </c>
      <c r="C176" s="25" t="s">
        <v>94</v>
      </c>
      <c r="F176" s="1"/>
      <c r="G176" s="3"/>
    </row>
    <row r="177" spans="1:7">
      <c r="A177" s="23">
        <v>176</v>
      </c>
      <c r="B177" s="17" t="s">
        <v>1667</v>
      </c>
      <c r="C177" s="25" t="s">
        <v>122</v>
      </c>
      <c r="F177" s="1"/>
      <c r="G177" s="3"/>
    </row>
    <row r="178" spans="1:7">
      <c r="A178" s="23">
        <v>177</v>
      </c>
      <c r="B178" s="17" t="s">
        <v>1668</v>
      </c>
      <c r="C178" s="25" t="s">
        <v>55</v>
      </c>
      <c r="F178" s="1"/>
      <c r="G178" s="3"/>
    </row>
    <row r="179" spans="1:7">
      <c r="A179" s="23">
        <v>178</v>
      </c>
      <c r="B179" s="17" t="s">
        <v>1669</v>
      </c>
      <c r="C179" s="25" t="s">
        <v>94</v>
      </c>
      <c r="F179" s="1"/>
      <c r="G179" s="3"/>
    </row>
    <row r="180" spans="1:7">
      <c r="A180" s="23">
        <v>179</v>
      </c>
      <c r="B180" s="17" t="s">
        <v>1670</v>
      </c>
      <c r="C180" s="25" t="s">
        <v>122</v>
      </c>
      <c r="F180" s="1"/>
      <c r="G180" s="3"/>
    </row>
    <row r="181" spans="1:7">
      <c r="A181" s="23">
        <v>180</v>
      </c>
      <c r="B181" s="17" t="s">
        <v>1671</v>
      </c>
      <c r="C181" s="25" t="s">
        <v>200</v>
      </c>
      <c r="F181" s="1"/>
      <c r="G181" s="3"/>
    </row>
    <row r="182" spans="1:7">
      <c r="A182" s="23">
        <v>181</v>
      </c>
      <c r="B182" s="17" t="s">
        <v>1672</v>
      </c>
      <c r="C182" s="25" t="s">
        <v>176</v>
      </c>
      <c r="F182" s="1"/>
      <c r="G182" s="3"/>
    </row>
    <row r="183" spans="1:7">
      <c r="A183" s="23">
        <v>182</v>
      </c>
      <c r="B183" s="17" t="s">
        <v>1673</v>
      </c>
      <c r="C183" s="25" t="s">
        <v>94</v>
      </c>
      <c r="F183" s="1"/>
      <c r="G183" s="3"/>
    </row>
    <row r="184" spans="1:7">
      <c r="A184" s="23">
        <v>183</v>
      </c>
      <c r="B184" s="17" t="s">
        <v>1674</v>
      </c>
      <c r="C184" s="25" t="s">
        <v>126</v>
      </c>
      <c r="F184" s="1"/>
      <c r="G184" s="3"/>
    </row>
    <row r="185" spans="1:7">
      <c r="A185" s="23">
        <v>184</v>
      </c>
      <c r="B185" s="17" t="s">
        <v>1675</v>
      </c>
      <c r="C185" s="25" t="s">
        <v>126</v>
      </c>
      <c r="F185" s="1"/>
      <c r="G185" s="3"/>
    </row>
    <row r="186" spans="1:7">
      <c r="A186" s="23">
        <v>185</v>
      </c>
      <c r="B186" s="17" t="s">
        <v>1676</v>
      </c>
      <c r="C186" s="25" t="s">
        <v>102</v>
      </c>
      <c r="F186" s="1"/>
      <c r="G186" s="3"/>
    </row>
    <row r="187" spans="1:7">
      <c r="A187" s="23">
        <v>186</v>
      </c>
      <c r="B187" s="17" t="s">
        <v>1677</v>
      </c>
      <c r="C187" s="25" t="s">
        <v>982</v>
      </c>
      <c r="F187" s="1"/>
      <c r="G187" s="3"/>
    </row>
    <row r="188" spans="1:7">
      <c r="A188" s="23">
        <v>187</v>
      </c>
      <c r="B188" s="17" t="s">
        <v>1678</v>
      </c>
      <c r="C188" s="25" t="s">
        <v>86</v>
      </c>
      <c r="F188" s="1"/>
      <c r="G188" s="3"/>
    </row>
    <row r="189" spans="1:7">
      <c r="A189" s="23">
        <v>188</v>
      </c>
      <c r="B189" s="17" t="s">
        <v>1679</v>
      </c>
      <c r="C189" s="25" t="s">
        <v>102</v>
      </c>
      <c r="F189" s="1"/>
      <c r="G189" s="3"/>
    </row>
    <row r="190" spans="1:7">
      <c r="A190" s="23">
        <v>189</v>
      </c>
      <c r="B190" s="17" t="s">
        <v>1680</v>
      </c>
      <c r="C190" s="25" t="s">
        <v>118</v>
      </c>
      <c r="F190" s="1"/>
      <c r="G190" s="3"/>
    </row>
    <row r="191" spans="1:7">
      <c r="A191" s="23">
        <v>190</v>
      </c>
      <c r="B191" s="17" t="s">
        <v>1681</v>
      </c>
      <c r="C191" s="25" t="s">
        <v>134</v>
      </c>
      <c r="F191" s="1"/>
      <c r="G191" s="3"/>
    </row>
    <row r="192" spans="1:7">
      <c r="A192" s="23">
        <v>191</v>
      </c>
      <c r="B192" s="17" t="s">
        <v>1682</v>
      </c>
      <c r="C192" s="25" t="s">
        <v>106</v>
      </c>
      <c r="F192" s="1"/>
      <c r="G192" s="3"/>
    </row>
    <row r="193" spans="1:7">
      <c r="A193" s="23">
        <v>192</v>
      </c>
      <c r="B193" s="17" t="s">
        <v>1683</v>
      </c>
      <c r="C193" s="25" t="s">
        <v>102</v>
      </c>
      <c r="F193" s="1"/>
      <c r="G193" s="3"/>
    </row>
    <row r="194" spans="1:7">
      <c r="A194" s="23">
        <v>193</v>
      </c>
      <c r="B194" s="17" t="s">
        <v>1684</v>
      </c>
      <c r="C194" s="25" t="s">
        <v>94</v>
      </c>
      <c r="F194" s="1"/>
      <c r="G194" s="3"/>
    </row>
    <row r="195" spans="1:7">
      <c r="A195" s="23">
        <v>194</v>
      </c>
      <c r="B195" s="17" t="s">
        <v>1685</v>
      </c>
      <c r="C195" s="25" t="s">
        <v>126</v>
      </c>
      <c r="F195" s="1"/>
      <c r="G195" s="3"/>
    </row>
    <row r="196" spans="1:7">
      <c r="A196" s="23">
        <v>195</v>
      </c>
      <c r="B196" s="17" t="s">
        <v>1686</v>
      </c>
      <c r="C196" s="25" t="s">
        <v>1687</v>
      </c>
      <c r="F196" s="1"/>
      <c r="G196" s="3"/>
    </row>
    <row r="197" spans="1:7">
      <c r="A197" s="23">
        <v>196</v>
      </c>
      <c r="B197" s="17" t="s">
        <v>1688</v>
      </c>
      <c r="C197" s="25" t="s">
        <v>67</v>
      </c>
      <c r="F197" s="1"/>
      <c r="G197" s="3"/>
    </row>
    <row r="198" spans="1:7">
      <c r="A198" s="23">
        <v>197</v>
      </c>
      <c r="B198" s="17" t="s">
        <v>1689</v>
      </c>
      <c r="C198" s="25" t="s">
        <v>126</v>
      </c>
      <c r="F198" s="1"/>
      <c r="G198" s="3"/>
    </row>
    <row r="199" spans="1:7">
      <c r="A199" s="23">
        <v>198</v>
      </c>
      <c r="B199" s="17" t="s">
        <v>1690</v>
      </c>
      <c r="C199" s="25" t="s">
        <v>90</v>
      </c>
      <c r="F199" s="1"/>
      <c r="G199" s="3"/>
    </row>
    <row r="200" spans="1:7">
      <c r="A200" s="23">
        <v>199</v>
      </c>
      <c r="B200" s="17" t="s">
        <v>1691</v>
      </c>
      <c r="C200" s="25" t="s">
        <v>58</v>
      </c>
      <c r="F200" s="1"/>
      <c r="G200" s="3"/>
    </row>
    <row r="201" spans="1:7">
      <c r="A201" s="23">
        <v>200</v>
      </c>
      <c r="B201" s="17" t="s">
        <v>1692</v>
      </c>
      <c r="C201" s="25" t="s">
        <v>999</v>
      </c>
      <c r="F201" s="1"/>
      <c r="G201" s="3"/>
    </row>
    <row r="202" spans="1:7">
      <c r="A202" s="23">
        <v>201</v>
      </c>
      <c r="B202" s="17" t="s">
        <v>1693</v>
      </c>
      <c r="C202" s="25" t="s">
        <v>122</v>
      </c>
      <c r="F202" s="1"/>
      <c r="G202" s="3"/>
    </row>
    <row r="203" spans="1:7">
      <c r="A203" s="23">
        <v>202</v>
      </c>
      <c r="B203" s="17" t="s">
        <v>1694</v>
      </c>
      <c r="C203" s="25" t="s">
        <v>1012</v>
      </c>
      <c r="F203" s="1"/>
      <c r="G203" s="3"/>
    </row>
    <row r="204" spans="1:7">
      <c r="A204" s="23">
        <v>203</v>
      </c>
      <c r="B204" s="17" t="s">
        <v>1695</v>
      </c>
      <c r="C204" s="25" t="s">
        <v>1696</v>
      </c>
      <c r="F204" s="1"/>
      <c r="G204" s="3"/>
    </row>
    <row r="205" spans="1:7">
      <c r="A205" s="23">
        <v>204</v>
      </c>
      <c r="B205" s="17" t="s">
        <v>1697</v>
      </c>
      <c r="C205" s="25" t="s">
        <v>122</v>
      </c>
      <c r="F205" s="1"/>
      <c r="G205" s="3"/>
    </row>
    <row r="206" spans="1:7">
      <c r="A206" s="23">
        <v>205</v>
      </c>
      <c r="B206" s="17" t="s">
        <v>1698</v>
      </c>
      <c r="C206" s="25" t="s">
        <v>102</v>
      </c>
      <c r="F206" s="1"/>
      <c r="G206" s="3"/>
    </row>
    <row r="207" spans="1:7">
      <c r="A207" s="23">
        <v>206</v>
      </c>
      <c r="B207" s="17" t="s">
        <v>1699</v>
      </c>
      <c r="C207" s="25" t="s">
        <v>110</v>
      </c>
      <c r="F207" s="1"/>
      <c r="G207" s="3"/>
    </row>
    <row r="208" spans="1:7">
      <c r="A208" s="23">
        <v>207</v>
      </c>
      <c r="B208" s="17" t="s">
        <v>1700</v>
      </c>
      <c r="C208" s="25" t="s">
        <v>90</v>
      </c>
      <c r="F208" s="1"/>
      <c r="G208" s="3"/>
    </row>
    <row r="209" spans="1:7">
      <c r="A209" s="23">
        <v>208</v>
      </c>
      <c r="B209" s="17" t="s">
        <v>1701</v>
      </c>
      <c r="C209" s="25" t="s">
        <v>149</v>
      </c>
      <c r="F209" s="1"/>
      <c r="G209" s="3"/>
    </row>
    <row r="210" spans="1:7">
      <c r="A210" s="23">
        <v>209</v>
      </c>
      <c r="B210" s="17" t="s">
        <v>1702</v>
      </c>
      <c r="C210" s="25" t="s">
        <v>1564</v>
      </c>
      <c r="F210" s="1"/>
      <c r="G210" s="3"/>
    </row>
    <row r="211" spans="1:7">
      <c r="A211" s="23">
        <v>210</v>
      </c>
      <c r="B211" s="17" t="s">
        <v>1703</v>
      </c>
      <c r="C211" s="25" t="s">
        <v>94</v>
      </c>
      <c r="F211" s="1"/>
      <c r="G211" s="3"/>
    </row>
    <row r="212" spans="1:7">
      <c r="A212" s="23">
        <v>211</v>
      </c>
      <c r="B212" s="17" t="s">
        <v>1704</v>
      </c>
      <c r="C212" s="25" t="s">
        <v>94</v>
      </c>
      <c r="F212" s="1"/>
      <c r="G212" s="3"/>
    </row>
    <row r="213" spans="1:7">
      <c r="A213" s="23">
        <v>212</v>
      </c>
      <c r="B213" s="17" t="s">
        <v>1705</v>
      </c>
      <c r="C213" s="25" t="s">
        <v>94</v>
      </c>
      <c r="F213" s="1"/>
      <c r="G213" s="3"/>
    </row>
    <row r="214" spans="1:7">
      <c r="A214" s="23">
        <v>213</v>
      </c>
      <c r="B214" s="17" t="s">
        <v>1706</v>
      </c>
      <c r="C214" s="25" t="s">
        <v>110</v>
      </c>
      <c r="F214" s="1"/>
      <c r="G214" s="3"/>
    </row>
    <row r="215" spans="1:7">
      <c r="A215" s="23">
        <v>214</v>
      </c>
      <c r="B215" s="17" t="s">
        <v>1707</v>
      </c>
      <c r="C215" s="25" t="s">
        <v>126</v>
      </c>
      <c r="F215" s="1"/>
      <c r="G215" s="3"/>
    </row>
    <row r="216" spans="1:7">
      <c r="A216" s="23">
        <v>215</v>
      </c>
      <c r="B216" s="17" t="s">
        <v>1708</v>
      </c>
      <c r="C216" s="25" t="s">
        <v>106</v>
      </c>
      <c r="F216" s="1"/>
      <c r="G216" s="3"/>
    </row>
    <row r="217" spans="1:7">
      <c r="A217" s="23">
        <v>216</v>
      </c>
      <c r="B217" s="17" t="s">
        <v>1709</v>
      </c>
      <c r="C217" s="25" t="s">
        <v>153</v>
      </c>
      <c r="F217" s="1"/>
      <c r="G217" s="3"/>
    </row>
    <row r="218" spans="1:7">
      <c r="A218" s="23">
        <v>217</v>
      </c>
      <c r="B218" s="17" t="s">
        <v>1710</v>
      </c>
      <c r="C218" s="25" t="s">
        <v>94</v>
      </c>
      <c r="F218" s="1"/>
      <c r="G218" s="3"/>
    </row>
    <row r="219" spans="1:7">
      <c r="A219" s="23">
        <v>218</v>
      </c>
      <c r="B219" s="17" t="s">
        <v>1711</v>
      </c>
      <c r="C219" s="25" t="s">
        <v>36</v>
      </c>
      <c r="F219" s="1"/>
      <c r="G219" s="3"/>
    </row>
    <row r="220" spans="1:7">
      <c r="A220" s="23">
        <v>219</v>
      </c>
      <c r="B220" s="17" t="s">
        <v>1712</v>
      </c>
      <c r="C220" s="25" t="s">
        <v>102</v>
      </c>
      <c r="F220" s="1"/>
      <c r="G220" s="3"/>
    </row>
    <row r="221" spans="1:7">
      <c r="A221" s="23">
        <v>220</v>
      </c>
      <c r="B221" s="17" t="s">
        <v>1713</v>
      </c>
      <c r="C221" s="25" t="s">
        <v>94</v>
      </c>
      <c r="F221" s="1"/>
      <c r="G221" s="3"/>
    </row>
    <row r="222" spans="1:7">
      <c r="A222" s="23">
        <v>221</v>
      </c>
      <c r="B222" s="17" t="s">
        <v>1714</v>
      </c>
      <c r="C222" s="25" t="s">
        <v>106</v>
      </c>
      <c r="F222" s="1"/>
      <c r="G222" s="3"/>
    </row>
    <row r="223" spans="1:7">
      <c r="A223" s="23">
        <v>222</v>
      </c>
      <c r="B223" s="17" t="s">
        <v>1715</v>
      </c>
      <c r="C223" s="25" t="s">
        <v>1716</v>
      </c>
      <c r="F223" s="1"/>
      <c r="G223" s="3"/>
    </row>
    <row r="224" spans="1:7">
      <c r="A224" s="23">
        <v>223</v>
      </c>
      <c r="B224" s="17" t="s">
        <v>1717</v>
      </c>
      <c r="C224" s="25" t="s">
        <v>106</v>
      </c>
      <c r="F224" s="1"/>
      <c r="G224" s="3"/>
    </row>
    <row r="225" spans="1:7">
      <c r="A225" s="23">
        <v>224</v>
      </c>
      <c r="B225" s="17" t="s">
        <v>1718</v>
      </c>
      <c r="C225" s="25" t="s">
        <v>126</v>
      </c>
      <c r="F225" s="1"/>
      <c r="G225" s="3"/>
    </row>
    <row r="226" spans="1:7">
      <c r="A226" s="23">
        <v>225</v>
      </c>
      <c r="B226" s="17" t="s">
        <v>1719</v>
      </c>
      <c r="C226" s="25" t="s">
        <v>114</v>
      </c>
      <c r="F226" s="1"/>
      <c r="G226" s="3"/>
    </row>
    <row r="227" spans="1:7">
      <c r="A227" s="23">
        <v>226</v>
      </c>
      <c r="B227" s="17" t="s">
        <v>1720</v>
      </c>
      <c r="C227" s="25" t="s">
        <v>141</v>
      </c>
      <c r="F227" s="1"/>
      <c r="G227" s="3"/>
    </row>
    <row r="228" spans="1:7">
      <c r="A228" s="23">
        <v>227</v>
      </c>
      <c r="B228" s="17" t="s">
        <v>1721</v>
      </c>
      <c r="C228" s="25" t="s">
        <v>141</v>
      </c>
      <c r="F228" s="1"/>
      <c r="G228" s="3"/>
    </row>
    <row r="229" spans="1:7">
      <c r="A229" s="23">
        <v>228</v>
      </c>
      <c r="B229" s="17" t="s">
        <v>1722</v>
      </c>
      <c r="C229" s="25" t="s">
        <v>172</v>
      </c>
      <c r="F229" s="1"/>
      <c r="G229" s="3"/>
    </row>
    <row r="230" spans="1:7">
      <c r="A230" s="23">
        <v>229</v>
      </c>
      <c r="B230" s="17" t="s">
        <v>1723</v>
      </c>
      <c r="C230" s="25" t="s">
        <v>86</v>
      </c>
      <c r="F230" s="1"/>
      <c r="G230" s="3"/>
    </row>
    <row r="231" spans="1:7">
      <c r="A231" s="23">
        <v>230</v>
      </c>
      <c r="B231" s="17" t="s">
        <v>1724</v>
      </c>
      <c r="C231" s="25" t="s">
        <v>153</v>
      </c>
      <c r="F231" s="1"/>
      <c r="G231" s="3"/>
    </row>
    <row r="232" spans="1:7">
      <c r="A232" s="23">
        <v>231</v>
      </c>
      <c r="B232" s="17" t="s">
        <v>1725</v>
      </c>
      <c r="C232" s="25" t="s">
        <v>1726</v>
      </c>
      <c r="F232" s="1"/>
      <c r="G232" s="3"/>
    </row>
    <row r="233" spans="1:7">
      <c r="A233" s="23">
        <v>232</v>
      </c>
      <c r="B233" s="17" t="s">
        <v>1727</v>
      </c>
      <c r="C233" s="25" t="s">
        <v>149</v>
      </c>
      <c r="F233" s="1"/>
      <c r="G233" s="3"/>
    </row>
    <row r="234" spans="1:7">
      <c r="A234" s="23">
        <v>233</v>
      </c>
      <c r="B234" s="17" t="s">
        <v>1728</v>
      </c>
      <c r="C234" s="25" t="s">
        <v>153</v>
      </c>
      <c r="F234" s="1"/>
      <c r="G234" s="3"/>
    </row>
    <row r="235" spans="1:7">
      <c r="A235" s="23">
        <v>234</v>
      </c>
      <c r="B235" s="17" t="s">
        <v>1729</v>
      </c>
      <c r="C235" s="25" t="s">
        <v>58</v>
      </c>
      <c r="F235" s="1"/>
      <c r="G235" s="3"/>
    </row>
    <row r="236" spans="1:7">
      <c r="A236" s="23">
        <v>235</v>
      </c>
      <c r="B236" s="17" t="s">
        <v>1730</v>
      </c>
      <c r="C236" s="25" t="s">
        <v>134</v>
      </c>
      <c r="F236" s="1"/>
      <c r="G236" s="3"/>
    </row>
    <row r="237" spans="1:7">
      <c r="A237" s="23">
        <v>236</v>
      </c>
      <c r="B237" s="17" t="s">
        <v>1731</v>
      </c>
      <c r="C237" s="25" t="s">
        <v>1043</v>
      </c>
      <c r="F237" s="1"/>
      <c r="G237" s="3"/>
    </row>
    <row r="238" spans="1:7">
      <c r="A238" s="23">
        <v>237</v>
      </c>
      <c r="B238" s="17" t="s">
        <v>1732</v>
      </c>
      <c r="C238" s="25" t="s">
        <v>94</v>
      </c>
      <c r="F238" s="1"/>
      <c r="G238" s="3"/>
    </row>
    <row r="239" spans="1:7">
      <c r="A239" s="23">
        <v>238</v>
      </c>
      <c r="B239" s="17" t="s">
        <v>1733</v>
      </c>
      <c r="C239" s="25" t="s">
        <v>67</v>
      </c>
      <c r="F239" s="1"/>
      <c r="G239" s="3"/>
    </row>
    <row r="240" spans="1:7">
      <c r="A240" s="23">
        <v>239</v>
      </c>
      <c r="B240" s="17" t="s">
        <v>1734</v>
      </c>
      <c r="C240" s="25" t="s">
        <v>172</v>
      </c>
      <c r="F240" s="1"/>
      <c r="G240" s="3"/>
    </row>
    <row r="241" spans="1:7">
      <c r="A241" s="23">
        <v>240</v>
      </c>
      <c r="B241" s="17" t="s">
        <v>1735</v>
      </c>
      <c r="C241" s="25" t="s">
        <v>46</v>
      </c>
      <c r="F241" s="1"/>
      <c r="G241" s="3"/>
    </row>
    <row r="242" spans="1:7">
      <c r="A242" s="23">
        <v>241</v>
      </c>
      <c r="B242" s="17" t="s">
        <v>1736</v>
      </c>
      <c r="C242" s="25" t="s">
        <v>110</v>
      </c>
      <c r="F242" s="1"/>
      <c r="G242" s="3"/>
    </row>
    <row r="243" spans="1:7">
      <c r="A243" s="23">
        <v>242</v>
      </c>
      <c r="B243" s="17" t="s">
        <v>1737</v>
      </c>
      <c r="C243" s="25" t="s">
        <v>86</v>
      </c>
      <c r="F243" s="1"/>
      <c r="G243" s="3"/>
    </row>
    <row r="244" spans="1:7">
      <c r="A244" s="23">
        <v>243</v>
      </c>
      <c r="B244" s="17" t="s">
        <v>1738</v>
      </c>
      <c r="C244" s="25" t="s">
        <v>102</v>
      </c>
      <c r="F244" s="1"/>
      <c r="G244" s="3"/>
    </row>
    <row r="245" spans="1:7">
      <c r="A245" s="23">
        <v>244</v>
      </c>
      <c r="B245" s="17" t="s">
        <v>1739</v>
      </c>
      <c r="C245" s="25" t="s">
        <v>90</v>
      </c>
      <c r="F245" s="1"/>
      <c r="G245" s="3"/>
    </row>
    <row r="246" spans="1:7">
      <c r="A246" s="23">
        <v>245</v>
      </c>
      <c r="B246" s="17" t="s">
        <v>1740</v>
      </c>
      <c r="C246" s="25" t="s">
        <v>110</v>
      </c>
      <c r="F246" s="1"/>
      <c r="G246" s="3"/>
    </row>
    <row r="247" spans="1:7">
      <c r="A247" s="23">
        <v>246</v>
      </c>
      <c r="B247" s="17" t="s">
        <v>1741</v>
      </c>
      <c r="C247" s="25" t="s">
        <v>130</v>
      </c>
      <c r="F247" s="1"/>
      <c r="G247" s="3"/>
    </row>
    <row r="248" spans="1:7">
      <c r="A248" s="23">
        <v>247</v>
      </c>
      <c r="B248" s="17" t="s">
        <v>1742</v>
      </c>
      <c r="C248" s="25" t="s">
        <v>55</v>
      </c>
      <c r="F248" s="1"/>
      <c r="G248" s="3"/>
    </row>
    <row r="249" spans="1:7">
      <c r="A249" s="23">
        <v>248</v>
      </c>
      <c r="B249" s="17" t="s">
        <v>1743</v>
      </c>
      <c r="C249" s="25" t="s">
        <v>90</v>
      </c>
      <c r="F249" s="1"/>
      <c r="G249" s="3"/>
    </row>
    <row r="250" spans="1:7">
      <c r="A250" s="23">
        <v>249</v>
      </c>
      <c r="B250" s="17" t="s">
        <v>1744</v>
      </c>
      <c r="C250" s="25" t="s">
        <v>1590</v>
      </c>
      <c r="F250" s="1"/>
      <c r="G250" s="3"/>
    </row>
    <row r="251" spans="1:7">
      <c r="A251" s="23">
        <v>250</v>
      </c>
      <c r="B251" s="17" t="s">
        <v>1745</v>
      </c>
      <c r="C251" s="25" t="s">
        <v>200</v>
      </c>
      <c r="F251" s="1"/>
      <c r="G251" s="3"/>
    </row>
    <row r="252" spans="1:7">
      <c r="A252" s="23">
        <v>251</v>
      </c>
      <c r="B252" s="17" t="s">
        <v>1746</v>
      </c>
      <c r="C252" s="25" t="s">
        <v>1747</v>
      </c>
      <c r="F252" s="1"/>
      <c r="G252" s="3"/>
    </row>
    <row r="253" spans="1:7">
      <c r="A253" s="23">
        <v>252</v>
      </c>
      <c r="B253" s="17" t="s">
        <v>1748</v>
      </c>
      <c r="C253" s="25" t="s">
        <v>1749</v>
      </c>
      <c r="F253" s="1"/>
      <c r="G253" s="3"/>
    </row>
    <row r="254" spans="1:7">
      <c r="A254" s="23">
        <v>253</v>
      </c>
      <c r="B254" s="17" t="s">
        <v>1750</v>
      </c>
      <c r="C254" s="25" t="s">
        <v>94</v>
      </c>
      <c r="F254" s="1"/>
      <c r="G254" s="3"/>
    </row>
    <row r="255" spans="1:7">
      <c r="A255" s="23">
        <v>254</v>
      </c>
      <c r="B255" s="17" t="s">
        <v>1751</v>
      </c>
      <c r="C255" s="25" t="s">
        <v>110</v>
      </c>
      <c r="F255" s="1"/>
      <c r="G255" s="3"/>
    </row>
    <row r="256" spans="1:7">
      <c r="A256" s="23">
        <v>255</v>
      </c>
      <c r="B256" s="17" t="s">
        <v>1752</v>
      </c>
      <c r="C256" s="25" t="s">
        <v>118</v>
      </c>
      <c r="F256" s="1"/>
      <c r="G256" s="3"/>
    </row>
    <row r="257" spans="1:7">
      <c r="A257" s="23">
        <v>256</v>
      </c>
      <c r="B257" s="17" t="s">
        <v>1753</v>
      </c>
      <c r="C257" s="25" t="s">
        <v>126</v>
      </c>
      <c r="F257" s="1"/>
      <c r="G257" s="3"/>
    </row>
    <row r="258" spans="1:7">
      <c r="A258" s="23">
        <v>257</v>
      </c>
      <c r="B258" s="17" t="s">
        <v>1754</v>
      </c>
      <c r="C258" s="25" t="s">
        <v>110</v>
      </c>
      <c r="F258" s="1"/>
      <c r="G258" s="3"/>
    </row>
    <row r="259" spans="1:7">
      <c r="A259" s="23">
        <v>258</v>
      </c>
      <c r="B259" s="17" t="s">
        <v>1755</v>
      </c>
      <c r="C259" s="25" t="s">
        <v>122</v>
      </c>
      <c r="F259" s="1"/>
      <c r="G259" s="3"/>
    </row>
    <row r="260" spans="1:7">
      <c r="A260" s="23">
        <v>259</v>
      </c>
      <c r="B260" s="17" t="s">
        <v>1756</v>
      </c>
      <c r="C260" s="25" t="s">
        <v>110</v>
      </c>
      <c r="F260" s="1"/>
      <c r="G260" s="3"/>
    </row>
    <row r="261" spans="1:7">
      <c r="A261" s="23">
        <v>260</v>
      </c>
      <c r="B261" s="17" t="s">
        <v>1757</v>
      </c>
      <c r="C261" s="25" t="s">
        <v>67</v>
      </c>
      <c r="F261" s="1"/>
      <c r="G261" s="3"/>
    </row>
    <row r="262" spans="1:7">
      <c r="A262" s="23">
        <v>261</v>
      </c>
      <c r="B262" s="17" t="s">
        <v>1758</v>
      </c>
      <c r="C262" s="25" t="s">
        <v>149</v>
      </c>
      <c r="F262" s="1"/>
      <c r="G262" s="3"/>
    </row>
    <row r="263" spans="1:7">
      <c r="A263" s="23">
        <v>262</v>
      </c>
      <c r="B263" s="17" t="s">
        <v>1759</v>
      </c>
      <c r="C263" s="25" t="s">
        <v>153</v>
      </c>
      <c r="F263" s="1"/>
      <c r="G263" s="3"/>
    </row>
    <row r="264" spans="1:7">
      <c r="A264" s="23">
        <v>263</v>
      </c>
      <c r="B264" s="17" t="s">
        <v>1760</v>
      </c>
      <c r="C264" s="25" t="s">
        <v>1761</v>
      </c>
      <c r="F264" s="1"/>
      <c r="G264" s="3"/>
    </row>
    <row r="265" spans="1:7">
      <c r="A265" s="23">
        <v>264</v>
      </c>
      <c r="B265" s="17" t="s">
        <v>1762</v>
      </c>
      <c r="C265" s="25" t="s">
        <v>1564</v>
      </c>
      <c r="F265" s="1"/>
      <c r="G265" s="3"/>
    </row>
    <row r="266" spans="1:7">
      <c r="A266" s="23">
        <v>265</v>
      </c>
      <c r="B266" s="17" t="s">
        <v>1763</v>
      </c>
      <c r="C266" s="25" t="s">
        <v>94</v>
      </c>
      <c r="F266" s="1"/>
      <c r="G266" s="3"/>
    </row>
    <row r="267" spans="1:7">
      <c r="A267" s="23">
        <v>266</v>
      </c>
      <c r="B267" s="17" t="s">
        <v>1764</v>
      </c>
      <c r="C267" s="25" t="s">
        <v>176</v>
      </c>
      <c r="F267" s="1"/>
      <c r="G267" s="3"/>
    </row>
    <row r="268" spans="1:7">
      <c r="A268" s="23">
        <v>267</v>
      </c>
      <c r="B268" s="17" t="s">
        <v>1765</v>
      </c>
      <c r="C268" s="25" t="s">
        <v>164</v>
      </c>
      <c r="F268" s="1"/>
      <c r="G268" s="3"/>
    </row>
    <row r="269" spans="1:7">
      <c r="A269" s="23">
        <v>268</v>
      </c>
      <c r="B269" s="17" t="s">
        <v>1766</v>
      </c>
      <c r="C269" s="25" t="s">
        <v>102</v>
      </c>
      <c r="F269" s="1"/>
      <c r="G269" s="3"/>
    </row>
    <row r="270" spans="1:7">
      <c r="A270" s="23">
        <v>269</v>
      </c>
      <c r="B270" s="17" t="s">
        <v>1767</v>
      </c>
      <c r="C270" s="25" t="s">
        <v>102</v>
      </c>
      <c r="F270" s="1"/>
      <c r="G270" s="3"/>
    </row>
    <row r="271" spans="1:7">
      <c r="A271" s="23">
        <v>270</v>
      </c>
      <c r="B271" s="17" t="s">
        <v>1768</v>
      </c>
      <c r="C271" s="25" t="s">
        <v>1050</v>
      </c>
      <c r="F271" s="1"/>
      <c r="G271" s="3"/>
    </row>
    <row r="272" spans="1:7">
      <c r="A272" s="23">
        <v>271</v>
      </c>
      <c r="B272" s="17" t="s">
        <v>1769</v>
      </c>
      <c r="C272" s="25" t="s">
        <v>172</v>
      </c>
      <c r="F272" s="1"/>
      <c r="G272" s="3"/>
    </row>
    <row r="273" spans="1:7">
      <c r="A273" s="23">
        <v>272</v>
      </c>
      <c r="B273" s="17" t="s">
        <v>1770</v>
      </c>
      <c r="C273" s="25" t="s">
        <v>134</v>
      </c>
      <c r="F273" s="1"/>
      <c r="G273" s="3"/>
    </row>
    <row r="274" spans="1:7">
      <c r="A274" s="23">
        <v>273</v>
      </c>
      <c r="B274" s="17" t="s">
        <v>1771</v>
      </c>
      <c r="C274" s="25" t="s">
        <v>114</v>
      </c>
      <c r="F274" s="1"/>
      <c r="G274" s="3"/>
    </row>
    <row r="275" spans="1:7">
      <c r="A275" s="23">
        <v>274</v>
      </c>
      <c r="B275" s="17" t="s">
        <v>1772</v>
      </c>
      <c r="C275" s="25" t="s">
        <v>153</v>
      </c>
      <c r="F275" s="1"/>
      <c r="G275" s="3"/>
    </row>
    <row r="276" spans="1:7">
      <c r="A276" s="23">
        <v>275</v>
      </c>
      <c r="B276" s="17" t="s">
        <v>1773</v>
      </c>
      <c r="C276" s="25" t="s">
        <v>126</v>
      </c>
      <c r="F276" s="1"/>
      <c r="G276" s="3"/>
    </row>
    <row r="277" spans="1:7">
      <c r="A277" s="23">
        <v>276</v>
      </c>
      <c r="B277" s="17" t="s">
        <v>1774</v>
      </c>
      <c r="C277" s="25" t="s">
        <v>94</v>
      </c>
      <c r="F277" s="1"/>
      <c r="G277" s="3"/>
    </row>
    <row r="278" spans="1:7">
      <c r="A278" s="23">
        <v>277</v>
      </c>
      <c r="B278" s="17" t="s">
        <v>1775</v>
      </c>
      <c r="C278" s="25" t="s">
        <v>110</v>
      </c>
      <c r="F278" s="1"/>
      <c r="G278" s="3"/>
    </row>
    <row r="279" spans="1:7">
      <c r="A279" s="23">
        <v>278</v>
      </c>
      <c r="B279" s="17" t="s">
        <v>1776</v>
      </c>
      <c r="C279" s="25" t="s">
        <v>58</v>
      </c>
      <c r="F279" s="1"/>
      <c r="G279" s="3"/>
    </row>
    <row r="280" spans="1:7">
      <c r="A280" s="23">
        <v>279</v>
      </c>
      <c r="B280" s="17" t="s">
        <v>1777</v>
      </c>
      <c r="C280" s="25" t="s">
        <v>94</v>
      </c>
      <c r="F280" s="1"/>
      <c r="G280" s="3"/>
    </row>
    <row r="281" spans="1:7">
      <c r="A281" s="23">
        <v>280</v>
      </c>
      <c r="B281" s="17" t="s">
        <v>1778</v>
      </c>
      <c r="C281" s="25" t="s">
        <v>134</v>
      </c>
      <c r="F281" s="1"/>
      <c r="G281" s="3"/>
    </row>
    <row r="282" spans="1:7">
      <c r="A282" s="23">
        <v>281</v>
      </c>
      <c r="B282" s="17" t="s">
        <v>1779</v>
      </c>
      <c r="C282" s="25" t="s">
        <v>94</v>
      </c>
      <c r="F282" s="1"/>
      <c r="G282" s="3"/>
    </row>
    <row r="283" spans="1:7">
      <c r="A283" s="23">
        <v>282</v>
      </c>
      <c r="B283" s="17" t="s">
        <v>1780</v>
      </c>
      <c r="C283" s="25" t="s">
        <v>1781</v>
      </c>
      <c r="F283" s="1"/>
      <c r="G283" s="3"/>
    </row>
    <row r="284" spans="1:7">
      <c r="A284" s="23">
        <v>283</v>
      </c>
      <c r="B284" s="17" t="s">
        <v>1782</v>
      </c>
      <c r="C284" s="25" t="s">
        <v>1783</v>
      </c>
      <c r="F284" s="1"/>
      <c r="G284" s="3"/>
    </row>
    <row r="285" spans="1:7">
      <c r="A285" s="23">
        <v>284</v>
      </c>
      <c r="B285" s="17" t="s">
        <v>1784</v>
      </c>
      <c r="C285" s="25" t="s">
        <v>90</v>
      </c>
      <c r="F285" s="1"/>
      <c r="G285" s="3"/>
    </row>
    <row r="286" spans="1:7">
      <c r="A286" s="23">
        <v>285</v>
      </c>
      <c r="B286" s="17" t="s">
        <v>1785</v>
      </c>
      <c r="C286" s="25" t="s">
        <v>94</v>
      </c>
      <c r="F286" s="1"/>
      <c r="G286" s="3"/>
    </row>
    <row r="287" spans="1:7">
      <c r="A287" s="23">
        <v>286</v>
      </c>
      <c r="B287" s="17" t="s">
        <v>1786</v>
      </c>
      <c r="C287" s="25" t="s">
        <v>94</v>
      </c>
      <c r="F287" s="1"/>
      <c r="G287" s="3"/>
    </row>
    <row r="288" spans="1:7">
      <c r="A288" s="23">
        <v>287</v>
      </c>
      <c r="B288" s="17" t="s">
        <v>1787</v>
      </c>
      <c r="C288" s="25" t="s">
        <v>1788</v>
      </c>
      <c r="F288" s="1"/>
      <c r="G288" s="3"/>
    </row>
    <row r="289" spans="1:7">
      <c r="A289" s="23">
        <v>288</v>
      </c>
      <c r="B289" s="17" t="s">
        <v>1789</v>
      </c>
      <c r="C289" s="25" t="s">
        <v>102</v>
      </c>
      <c r="F289" s="1"/>
      <c r="G289" s="3"/>
    </row>
    <row r="290" spans="1:7">
      <c r="A290" s="23">
        <v>289</v>
      </c>
      <c r="B290" s="17" t="s">
        <v>1790</v>
      </c>
      <c r="C290" s="25" t="s">
        <v>126</v>
      </c>
      <c r="F290" s="1"/>
      <c r="G290" s="3"/>
    </row>
    <row r="291" spans="1:7">
      <c r="A291" s="23">
        <v>290</v>
      </c>
      <c r="B291" s="17" t="s">
        <v>1791</v>
      </c>
      <c r="C291" s="25" t="s">
        <v>122</v>
      </c>
      <c r="F291" s="1"/>
      <c r="G291" s="3"/>
    </row>
    <row r="292" spans="1:7">
      <c r="A292" s="23">
        <v>291</v>
      </c>
      <c r="B292" s="17" t="s">
        <v>1792</v>
      </c>
      <c r="C292" s="25" t="s">
        <v>64</v>
      </c>
      <c r="F292" s="1"/>
      <c r="G292" s="3"/>
    </row>
    <row r="293" spans="1:7">
      <c r="A293" s="23">
        <v>292</v>
      </c>
      <c r="B293" s="17" t="s">
        <v>1793</v>
      </c>
      <c r="C293" s="25" t="s">
        <v>122</v>
      </c>
      <c r="F293" s="1"/>
      <c r="G293" s="3"/>
    </row>
    <row r="294" spans="1:7">
      <c r="A294" s="23">
        <v>293</v>
      </c>
      <c r="B294" s="17" t="s">
        <v>1794</v>
      </c>
      <c r="C294" s="25" t="s">
        <v>1440</v>
      </c>
      <c r="F294" s="1"/>
      <c r="G294" s="3"/>
    </row>
    <row r="295" spans="1:7">
      <c r="A295" s="23">
        <v>294</v>
      </c>
      <c r="B295" s="17" t="s">
        <v>1795</v>
      </c>
      <c r="C295" s="25" t="s">
        <v>70</v>
      </c>
      <c r="F295" s="1"/>
      <c r="G295" s="3"/>
    </row>
    <row r="296" spans="1:7">
      <c r="A296" s="23">
        <v>295</v>
      </c>
      <c r="B296" s="17" t="s">
        <v>1796</v>
      </c>
      <c r="C296" s="25" t="s">
        <v>122</v>
      </c>
      <c r="F296" s="1"/>
      <c r="G296" s="3"/>
    </row>
    <row r="297" spans="1:7">
      <c r="A297" s="23">
        <v>296</v>
      </c>
      <c r="B297" s="17" t="s">
        <v>1797</v>
      </c>
      <c r="C297" s="25" t="s">
        <v>52</v>
      </c>
      <c r="F297" s="1"/>
      <c r="G297" s="3"/>
    </row>
    <row r="298" spans="1:7">
      <c r="A298" s="23">
        <v>297</v>
      </c>
      <c r="B298" s="17" t="s">
        <v>1798</v>
      </c>
      <c r="C298" s="25" t="s">
        <v>1799</v>
      </c>
      <c r="F298" s="1"/>
      <c r="G298" s="3"/>
    </row>
    <row r="299" spans="1:7">
      <c r="A299" s="23">
        <v>298</v>
      </c>
      <c r="B299" s="17" t="s">
        <v>1800</v>
      </c>
      <c r="C299" s="25" t="s">
        <v>58</v>
      </c>
      <c r="F299" s="1"/>
      <c r="G299" s="3"/>
    </row>
    <row r="300" spans="1:7">
      <c r="A300" s="23">
        <v>299</v>
      </c>
      <c r="B300" s="17" t="s">
        <v>1801</v>
      </c>
      <c r="C300" s="25" t="s">
        <v>55</v>
      </c>
      <c r="F300" s="1"/>
      <c r="G300" s="3"/>
    </row>
    <row r="301" spans="1:7">
      <c r="A301" s="23">
        <v>300</v>
      </c>
      <c r="B301" s="17" t="s">
        <v>1802</v>
      </c>
      <c r="C301" s="25" t="s">
        <v>94</v>
      </c>
      <c r="F301" s="1"/>
      <c r="G301" s="3"/>
    </row>
    <row r="302" spans="1:7">
      <c r="A302" s="23">
        <v>301</v>
      </c>
      <c r="B302" s="17" t="s">
        <v>1803</v>
      </c>
      <c r="C302" s="25" t="s">
        <v>39</v>
      </c>
      <c r="F302" s="1"/>
      <c r="G302" s="3"/>
    </row>
    <row r="303" spans="1:7">
      <c r="A303" s="23">
        <v>302</v>
      </c>
      <c r="B303" s="17" t="s">
        <v>1804</v>
      </c>
      <c r="C303" s="25" t="s">
        <v>52</v>
      </c>
      <c r="F303" s="1"/>
      <c r="G303" s="3"/>
    </row>
    <row r="304" spans="1:7">
      <c r="A304" s="23">
        <v>303</v>
      </c>
      <c r="B304" s="17" t="s">
        <v>1805</v>
      </c>
      <c r="C304" s="25" t="s">
        <v>1806</v>
      </c>
      <c r="F304" s="1"/>
      <c r="G304" s="3"/>
    </row>
    <row r="305" spans="1:7">
      <c r="A305" s="23">
        <v>304</v>
      </c>
      <c r="B305" s="17" t="s">
        <v>1807</v>
      </c>
      <c r="C305" s="25" t="s">
        <v>98</v>
      </c>
      <c r="F305" s="1"/>
      <c r="G305" s="3"/>
    </row>
    <row r="306" spans="1:7">
      <c r="A306" s="23">
        <v>305</v>
      </c>
      <c r="B306" s="17" t="s">
        <v>1808</v>
      </c>
      <c r="C306" s="25" t="s">
        <v>94</v>
      </c>
      <c r="F306" s="1"/>
      <c r="G306" s="3"/>
    </row>
    <row r="307" spans="1:7">
      <c r="A307" s="23">
        <v>306</v>
      </c>
      <c r="B307" s="17" t="s">
        <v>1809</v>
      </c>
      <c r="C307" s="25" t="s">
        <v>94</v>
      </c>
      <c r="F307" s="1"/>
      <c r="G307" s="3"/>
    </row>
    <row r="308" spans="1:7">
      <c r="A308" s="23">
        <v>307</v>
      </c>
      <c r="B308" s="17" t="s">
        <v>1810</v>
      </c>
      <c r="C308" s="25" t="s">
        <v>118</v>
      </c>
      <c r="F308" s="1"/>
      <c r="G308" s="3"/>
    </row>
    <row r="309" spans="1:7">
      <c r="A309" s="23">
        <v>308</v>
      </c>
      <c r="B309" s="17" t="s">
        <v>1811</v>
      </c>
      <c r="C309" s="25" t="s">
        <v>94</v>
      </c>
      <c r="F309" s="1"/>
      <c r="G309" s="3"/>
    </row>
    <row r="310" spans="1:7">
      <c r="A310" s="23">
        <v>309</v>
      </c>
      <c r="B310" s="17" t="s">
        <v>1812</v>
      </c>
      <c r="C310" s="25" t="s">
        <v>176</v>
      </c>
      <c r="F310" s="1"/>
      <c r="G310" s="3"/>
    </row>
    <row r="311" spans="1:7">
      <c r="A311" s="23">
        <v>310</v>
      </c>
      <c r="B311" s="17" t="s">
        <v>1813</v>
      </c>
      <c r="C311" s="25" t="s">
        <v>32</v>
      </c>
      <c r="F311" s="1"/>
      <c r="G311" s="3"/>
    </row>
    <row r="312" spans="1:7">
      <c r="A312" s="23">
        <v>311</v>
      </c>
      <c r="B312" s="17" t="s">
        <v>1814</v>
      </c>
      <c r="C312" s="25" t="s">
        <v>1629</v>
      </c>
      <c r="F312" s="1"/>
      <c r="G312" s="3"/>
    </row>
    <row r="313" spans="1:7">
      <c r="A313" s="23">
        <v>312</v>
      </c>
      <c r="B313" s="17" t="s">
        <v>1815</v>
      </c>
      <c r="C313" s="25" t="s">
        <v>64</v>
      </c>
      <c r="F313" s="1"/>
      <c r="G313" s="3"/>
    </row>
    <row r="314" spans="1:7">
      <c r="A314" s="23">
        <v>313</v>
      </c>
      <c r="B314" s="17" t="s">
        <v>1816</v>
      </c>
      <c r="C314" s="25" t="s">
        <v>39</v>
      </c>
      <c r="F314" s="1"/>
      <c r="G314" s="3"/>
    </row>
    <row r="315" spans="1:7">
      <c r="A315" s="23">
        <v>314</v>
      </c>
      <c r="B315" s="17" t="s">
        <v>1817</v>
      </c>
      <c r="C315" s="25" t="s">
        <v>176</v>
      </c>
      <c r="F315" s="1"/>
      <c r="G315" s="3"/>
    </row>
    <row r="316" spans="1:7">
      <c r="A316" s="23">
        <v>315</v>
      </c>
      <c r="B316" s="17" t="s">
        <v>1818</v>
      </c>
      <c r="C316" s="25" t="s">
        <v>200</v>
      </c>
      <c r="F316" s="1"/>
      <c r="G316" s="3"/>
    </row>
    <row r="317" spans="1:7">
      <c r="A317" s="23">
        <v>316</v>
      </c>
      <c r="B317" s="17" t="s">
        <v>1819</v>
      </c>
      <c r="C317" s="25" t="s">
        <v>94</v>
      </c>
      <c r="F317" s="1"/>
      <c r="G317" s="3"/>
    </row>
    <row r="318" spans="1:7">
      <c r="A318" s="23">
        <v>317</v>
      </c>
      <c r="B318" s="17" t="s">
        <v>1820</v>
      </c>
      <c r="C318" s="25" t="s">
        <v>992</v>
      </c>
      <c r="F318" s="1"/>
      <c r="G318" s="3"/>
    </row>
    <row r="319" spans="1:7">
      <c r="A319" s="23">
        <v>318</v>
      </c>
      <c r="B319" s="17" t="s">
        <v>1821</v>
      </c>
      <c r="C319" s="25" t="s">
        <v>58</v>
      </c>
      <c r="F319" s="1"/>
      <c r="G319" s="3"/>
    </row>
    <row r="320" spans="1:7">
      <c r="A320" s="23">
        <v>319</v>
      </c>
      <c r="B320" s="17" t="s">
        <v>1822</v>
      </c>
      <c r="C320" s="25" t="s">
        <v>153</v>
      </c>
      <c r="F320" s="1"/>
      <c r="G320" s="3"/>
    </row>
    <row r="321" spans="1:7">
      <c r="A321" s="23">
        <v>320</v>
      </c>
      <c r="B321" s="17" t="s">
        <v>1823</v>
      </c>
      <c r="C321" s="25" t="s">
        <v>32</v>
      </c>
      <c r="F321" s="1"/>
      <c r="G321" s="3"/>
    </row>
    <row r="322" spans="1:7">
      <c r="A322" s="23">
        <v>321</v>
      </c>
      <c r="B322" s="17" t="s">
        <v>1824</v>
      </c>
      <c r="C322" s="25" t="s">
        <v>94</v>
      </c>
      <c r="F322" s="1"/>
      <c r="G322" s="3"/>
    </row>
    <row r="323" spans="1:7">
      <c r="A323" s="23">
        <v>322</v>
      </c>
      <c r="B323" s="17" t="s">
        <v>1825</v>
      </c>
      <c r="C323" s="25" t="s">
        <v>61</v>
      </c>
      <c r="F323" s="1"/>
      <c r="G323" s="3"/>
    </row>
    <row r="324" spans="1:7">
      <c r="A324" s="23">
        <v>323</v>
      </c>
      <c r="B324" s="17" t="s">
        <v>1826</v>
      </c>
      <c r="C324" s="25" t="s">
        <v>1085</v>
      </c>
      <c r="F324" s="1"/>
      <c r="G324" s="3"/>
    </row>
    <row r="325" spans="1:7">
      <c r="A325" s="23">
        <v>324</v>
      </c>
      <c r="B325" s="17" t="s">
        <v>1827</v>
      </c>
      <c r="C325" s="25" t="s">
        <v>1827</v>
      </c>
      <c r="F325" s="1"/>
      <c r="G325" s="3"/>
    </row>
    <row r="326" spans="1:7">
      <c r="A326" s="23">
        <v>325</v>
      </c>
      <c r="B326" s="17" t="s">
        <v>1828</v>
      </c>
      <c r="C326" s="25" t="s">
        <v>1829</v>
      </c>
      <c r="F326" s="1"/>
      <c r="G326" s="3"/>
    </row>
    <row r="327" spans="1:7">
      <c r="A327" s="23">
        <v>326</v>
      </c>
      <c r="B327" s="17" t="s">
        <v>1830</v>
      </c>
      <c r="C327" s="25" t="s">
        <v>106</v>
      </c>
      <c r="F327" s="1"/>
      <c r="G327" s="3"/>
    </row>
    <row r="328" spans="1:7">
      <c r="A328" s="23">
        <v>327</v>
      </c>
      <c r="B328" s="17" t="s">
        <v>1831</v>
      </c>
      <c r="C328" s="25" t="s">
        <v>94</v>
      </c>
      <c r="F328" s="1"/>
      <c r="G328" s="3"/>
    </row>
    <row r="329" spans="1:7">
      <c r="A329" s="23">
        <v>328</v>
      </c>
      <c r="B329" s="17" t="s">
        <v>1832</v>
      </c>
      <c r="C329" s="25" t="s">
        <v>90</v>
      </c>
      <c r="F329" s="1"/>
      <c r="G329" s="3"/>
    </row>
    <row r="330" spans="1:7">
      <c r="A330" s="23">
        <v>329</v>
      </c>
      <c r="B330" s="17" t="s">
        <v>1833</v>
      </c>
      <c r="C330" s="25" t="s">
        <v>122</v>
      </c>
      <c r="F330" s="1"/>
      <c r="G330" s="3"/>
    </row>
    <row r="331" spans="1:7">
      <c r="A331" s="23">
        <v>330</v>
      </c>
      <c r="B331" s="17" t="s">
        <v>1834</v>
      </c>
      <c r="C331" s="25" t="s">
        <v>1020</v>
      </c>
      <c r="F331" s="1"/>
      <c r="G331" s="3"/>
    </row>
    <row r="332" spans="1:7">
      <c r="A332" s="23">
        <v>331</v>
      </c>
      <c r="B332" s="17" t="s">
        <v>1835</v>
      </c>
      <c r="C332" s="25" t="s">
        <v>114</v>
      </c>
      <c r="F332" s="1"/>
      <c r="G332" s="3"/>
    </row>
    <row r="333" spans="1:7">
      <c r="A333" s="23">
        <v>332</v>
      </c>
      <c r="B333" s="17" t="s">
        <v>1836</v>
      </c>
      <c r="C333" s="25" t="s">
        <v>102</v>
      </c>
      <c r="F333" s="1"/>
      <c r="G333" s="3"/>
    </row>
    <row r="334" spans="1:7">
      <c r="A334" s="23">
        <v>333</v>
      </c>
      <c r="B334" s="17" t="s">
        <v>1837</v>
      </c>
      <c r="C334" s="25" t="s">
        <v>94</v>
      </c>
      <c r="F334" s="1"/>
      <c r="G334" s="3"/>
    </row>
    <row r="335" spans="1:7">
      <c r="A335" s="23">
        <v>334</v>
      </c>
      <c r="B335" s="17" t="s">
        <v>1838</v>
      </c>
      <c r="C335" s="25" t="s">
        <v>145</v>
      </c>
      <c r="F335" s="1"/>
      <c r="G335" s="3"/>
    </row>
    <row r="336" spans="1:7">
      <c r="A336" s="23">
        <v>335</v>
      </c>
      <c r="B336" s="17" t="s">
        <v>1839</v>
      </c>
      <c r="C336" s="25" t="s">
        <v>52</v>
      </c>
      <c r="F336" s="1"/>
      <c r="G336" s="3"/>
    </row>
    <row r="337" spans="1:7">
      <c r="A337" s="23">
        <v>336</v>
      </c>
      <c r="B337" s="17" t="s">
        <v>1840</v>
      </c>
      <c r="C337" s="25" t="s">
        <v>52</v>
      </c>
      <c r="F337" s="1"/>
      <c r="G337" s="3"/>
    </row>
    <row r="338" spans="1:7">
      <c r="A338" s="23">
        <v>337</v>
      </c>
      <c r="B338" s="17" t="s">
        <v>1841</v>
      </c>
      <c r="C338" s="25" t="s">
        <v>118</v>
      </c>
      <c r="F338" s="1"/>
      <c r="G338" s="3"/>
    </row>
    <row r="339" spans="1:7">
      <c r="A339" s="23">
        <v>338</v>
      </c>
      <c r="B339" s="17" t="s">
        <v>1842</v>
      </c>
      <c r="C339" s="25" t="s">
        <v>94</v>
      </c>
      <c r="F339" s="1"/>
      <c r="G339" s="3"/>
    </row>
    <row r="340" spans="1:7">
      <c r="A340" s="23">
        <v>339</v>
      </c>
      <c r="B340" s="17" t="s">
        <v>1843</v>
      </c>
      <c r="C340" s="25" t="s">
        <v>172</v>
      </c>
      <c r="F340" s="1"/>
      <c r="G340" s="3"/>
    </row>
    <row r="341" spans="1:7">
      <c r="A341" s="23">
        <v>340</v>
      </c>
      <c r="B341" s="17" t="s">
        <v>1844</v>
      </c>
      <c r="C341" s="25" t="s">
        <v>61</v>
      </c>
      <c r="F341" s="1"/>
      <c r="G341" s="3"/>
    </row>
    <row r="342" spans="1:7">
      <c r="A342" s="23">
        <v>341</v>
      </c>
      <c r="B342" s="17" t="s">
        <v>1845</v>
      </c>
      <c r="C342" s="25" t="s">
        <v>1629</v>
      </c>
      <c r="F342" s="1"/>
      <c r="G342" s="3"/>
    </row>
    <row r="343" spans="1:7">
      <c r="A343" s="23">
        <v>342</v>
      </c>
      <c r="B343" s="17" t="s">
        <v>1846</v>
      </c>
      <c r="C343" s="25" t="s">
        <v>145</v>
      </c>
      <c r="F343" s="1"/>
      <c r="G343" s="3"/>
    </row>
    <row r="344" spans="1:7">
      <c r="A344" s="23">
        <v>343</v>
      </c>
      <c r="B344" s="17" t="s">
        <v>1847</v>
      </c>
      <c r="C344" s="25" t="s">
        <v>200</v>
      </c>
      <c r="F344" s="1"/>
      <c r="G344" s="3"/>
    </row>
    <row r="345" spans="1:7">
      <c r="A345" s="23">
        <v>344</v>
      </c>
      <c r="B345" s="17" t="s">
        <v>1848</v>
      </c>
      <c r="C345" s="25" t="s">
        <v>1042</v>
      </c>
      <c r="F345" s="1"/>
      <c r="G345" s="3"/>
    </row>
    <row r="346" spans="1:7">
      <c r="A346" s="23">
        <v>345</v>
      </c>
      <c r="B346" s="17" t="s">
        <v>1849</v>
      </c>
      <c r="C346" s="25" t="s">
        <v>126</v>
      </c>
      <c r="F346" s="1"/>
      <c r="G346" s="3"/>
    </row>
    <row r="347" spans="1:7">
      <c r="A347" s="23">
        <v>346</v>
      </c>
      <c r="B347" s="17" t="s">
        <v>1850</v>
      </c>
      <c r="C347" s="25" t="s">
        <v>86</v>
      </c>
      <c r="F347" s="1"/>
      <c r="G347" s="3"/>
    </row>
    <row r="348" spans="1:7">
      <c r="A348" s="23">
        <v>347</v>
      </c>
      <c r="B348" s="17" t="s">
        <v>1851</v>
      </c>
      <c r="C348" s="25" t="s">
        <v>1852</v>
      </c>
      <c r="F348" s="1"/>
      <c r="G348" s="3"/>
    </row>
    <row r="349" spans="1:7">
      <c r="A349" s="23">
        <v>348</v>
      </c>
      <c r="B349" s="17" t="s">
        <v>1853</v>
      </c>
      <c r="C349" s="25" t="s">
        <v>1854</v>
      </c>
      <c r="F349" s="1"/>
      <c r="G349" s="3"/>
    </row>
    <row r="350" spans="1:7">
      <c r="A350" s="23">
        <v>349</v>
      </c>
      <c r="B350" s="17" t="s">
        <v>1855</v>
      </c>
      <c r="C350" s="25" t="s">
        <v>114</v>
      </c>
      <c r="F350" s="1"/>
      <c r="G350" s="3"/>
    </row>
    <row r="351" spans="1:7">
      <c r="A351" s="23">
        <v>350</v>
      </c>
      <c r="B351" s="17" t="s">
        <v>1856</v>
      </c>
      <c r="C351" s="25" t="s">
        <v>102</v>
      </c>
      <c r="F351" s="1"/>
      <c r="G351" s="3"/>
    </row>
    <row r="352" spans="1:7">
      <c r="A352" s="23">
        <v>351</v>
      </c>
      <c r="B352" s="17" t="s">
        <v>1857</v>
      </c>
      <c r="C352" s="25" t="s">
        <v>36</v>
      </c>
      <c r="F352" s="1"/>
      <c r="G352" s="3"/>
    </row>
    <row r="353" spans="1:7">
      <c r="A353" s="23">
        <v>352</v>
      </c>
      <c r="B353" s="17" t="s">
        <v>1858</v>
      </c>
      <c r="C353" s="25" t="s">
        <v>1859</v>
      </c>
      <c r="F353" s="1"/>
      <c r="G353" s="3"/>
    </row>
    <row r="354" spans="1:7">
      <c r="A354" s="23">
        <v>353</v>
      </c>
      <c r="B354" s="17" t="s">
        <v>1860</v>
      </c>
      <c r="C354" s="25" t="s">
        <v>715</v>
      </c>
      <c r="F354" s="1"/>
      <c r="G354" s="3"/>
    </row>
    <row r="355" spans="1:7">
      <c r="A355" s="23">
        <v>354</v>
      </c>
      <c r="B355" s="17" t="s">
        <v>1861</v>
      </c>
      <c r="C355" s="25" t="s">
        <v>58</v>
      </c>
      <c r="F355" s="1"/>
      <c r="G355" s="3"/>
    </row>
    <row r="356" spans="1:7">
      <c r="A356" s="23">
        <v>355</v>
      </c>
      <c r="B356" s="17" t="s">
        <v>1862</v>
      </c>
      <c r="C356" s="25" t="s">
        <v>157</v>
      </c>
      <c r="F356" s="1"/>
      <c r="G356" s="3"/>
    </row>
    <row r="357" spans="1:7">
      <c r="A357" s="23">
        <v>356</v>
      </c>
      <c r="B357" s="17" t="s">
        <v>1863</v>
      </c>
      <c r="C357" s="25" t="s">
        <v>86</v>
      </c>
      <c r="F357" s="1"/>
      <c r="G357" s="3"/>
    </row>
    <row r="358" spans="1:7">
      <c r="A358" s="23">
        <v>357</v>
      </c>
      <c r="B358" s="17" t="s">
        <v>1864</v>
      </c>
      <c r="C358" s="25" t="s">
        <v>145</v>
      </c>
      <c r="F358" s="1"/>
      <c r="G358" s="3"/>
    </row>
    <row r="359" spans="1:7">
      <c r="A359" s="23">
        <v>358</v>
      </c>
      <c r="B359" s="17" t="s">
        <v>1865</v>
      </c>
      <c r="C359" s="25" t="s">
        <v>90</v>
      </c>
      <c r="F359" s="1"/>
      <c r="G359" s="3"/>
    </row>
    <row r="360" spans="1:7">
      <c r="A360" s="23">
        <v>359</v>
      </c>
      <c r="B360" s="17" t="s">
        <v>1866</v>
      </c>
      <c r="C360" s="25" t="s">
        <v>70</v>
      </c>
      <c r="F360" s="1"/>
      <c r="G360" s="3"/>
    </row>
    <row r="361" spans="1:7">
      <c r="A361" s="23">
        <v>360</v>
      </c>
      <c r="B361" s="17" t="s">
        <v>1867</v>
      </c>
      <c r="C361" s="25" t="s">
        <v>94</v>
      </c>
      <c r="F361" s="1"/>
      <c r="G361" s="3"/>
    </row>
    <row r="362" spans="1:7">
      <c r="A362" s="23">
        <v>361</v>
      </c>
      <c r="B362" s="17" t="s">
        <v>1868</v>
      </c>
      <c r="C362" s="25" t="s">
        <v>86</v>
      </c>
      <c r="F362" s="1"/>
      <c r="G362" s="3"/>
    </row>
    <row r="363" spans="1:7">
      <c r="A363" s="23">
        <v>362</v>
      </c>
      <c r="B363" s="17" t="s">
        <v>1869</v>
      </c>
      <c r="C363" s="25" t="s">
        <v>64</v>
      </c>
      <c r="F363" s="1"/>
      <c r="G363" s="3"/>
    </row>
    <row r="364" spans="1:7">
      <c r="A364" s="23">
        <v>363</v>
      </c>
      <c r="B364" s="17" t="s">
        <v>1870</v>
      </c>
      <c r="C364" s="25" t="s">
        <v>94</v>
      </c>
      <c r="F364" s="1"/>
      <c r="G364" s="3"/>
    </row>
    <row r="365" spans="1:7">
      <c r="A365" s="23">
        <v>364</v>
      </c>
      <c r="B365" s="17" t="s">
        <v>1871</v>
      </c>
      <c r="C365" s="25" t="s">
        <v>86</v>
      </c>
      <c r="F365" s="1"/>
      <c r="G365" s="3"/>
    </row>
    <row r="366" spans="1:7">
      <c r="A366" s="23">
        <v>365</v>
      </c>
      <c r="B366" s="17" t="s">
        <v>1872</v>
      </c>
      <c r="C366" s="25" t="s">
        <v>67</v>
      </c>
      <c r="F366" s="1"/>
      <c r="G366" s="3"/>
    </row>
    <row r="367" spans="1:7">
      <c r="A367" s="23">
        <v>366</v>
      </c>
      <c r="B367" s="17" t="s">
        <v>1873</v>
      </c>
      <c r="C367" s="25" t="s">
        <v>102</v>
      </c>
      <c r="F367" s="1"/>
      <c r="G367" s="3"/>
    </row>
    <row r="368" spans="1:7">
      <c r="A368" s="23">
        <v>367</v>
      </c>
      <c r="B368" s="17" t="s">
        <v>1874</v>
      </c>
      <c r="C368" s="25" t="s">
        <v>102</v>
      </c>
      <c r="F368" s="1"/>
      <c r="G368" s="3"/>
    </row>
    <row r="369" spans="1:7">
      <c r="A369" s="23">
        <v>368</v>
      </c>
      <c r="B369" s="17" t="s">
        <v>1875</v>
      </c>
      <c r="C369" s="25" t="s">
        <v>73</v>
      </c>
      <c r="F369" s="1"/>
      <c r="G369" s="3"/>
    </row>
    <row r="370" spans="1:7">
      <c r="A370" s="23">
        <v>369</v>
      </c>
      <c r="B370" s="17" t="s">
        <v>1876</v>
      </c>
      <c r="C370" s="25" t="s">
        <v>94</v>
      </c>
      <c r="F370" s="1"/>
      <c r="G370" s="3"/>
    </row>
    <row r="371" spans="1:7">
      <c r="A371" s="23">
        <v>370</v>
      </c>
      <c r="B371" s="17" t="s">
        <v>1877</v>
      </c>
      <c r="C371" s="25" t="s">
        <v>168</v>
      </c>
      <c r="F371" s="1"/>
      <c r="G371" s="3"/>
    </row>
    <row r="372" spans="1:7">
      <c r="A372" s="23">
        <v>371</v>
      </c>
      <c r="B372" s="17" t="s">
        <v>1878</v>
      </c>
      <c r="C372" s="25" t="s">
        <v>32</v>
      </c>
      <c r="F372" s="1"/>
      <c r="G372" s="3"/>
    </row>
    <row r="373" spans="1:7">
      <c r="A373" s="23">
        <v>372</v>
      </c>
      <c r="B373" s="17" t="s">
        <v>1879</v>
      </c>
      <c r="C373" s="25" t="s">
        <v>134</v>
      </c>
      <c r="F373" s="1"/>
      <c r="G373" s="3"/>
    </row>
    <row r="374" spans="1:7">
      <c r="A374" s="23">
        <v>373</v>
      </c>
      <c r="B374" s="17" t="s">
        <v>1880</v>
      </c>
      <c r="C374" s="25" t="s">
        <v>110</v>
      </c>
      <c r="F374" s="1"/>
      <c r="G374" s="3"/>
    </row>
    <row r="375" spans="1:7">
      <c r="A375" s="23">
        <v>374</v>
      </c>
      <c r="B375" s="17" t="s">
        <v>1881</v>
      </c>
      <c r="C375" s="25" t="s">
        <v>46</v>
      </c>
      <c r="F375" s="1"/>
      <c r="G375" s="3"/>
    </row>
    <row r="376" spans="1:7">
      <c r="A376" s="23">
        <v>375</v>
      </c>
      <c r="B376" s="17" t="s">
        <v>1882</v>
      </c>
      <c r="C376" s="25" t="s">
        <v>102</v>
      </c>
      <c r="F376" s="1"/>
      <c r="G376" s="3"/>
    </row>
    <row r="377" spans="1:7">
      <c r="A377" s="23">
        <v>376</v>
      </c>
      <c r="B377" s="17" t="s">
        <v>1883</v>
      </c>
      <c r="C377" s="25" t="s">
        <v>1036</v>
      </c>
      <c r="F377" s="1"/>
      <c r="G377" s="3"/>
    </row>
    <row r="378" spans="1:7">
      <c r="A378" s="23">
        <v>377</v>
      </c>
      <c r="B378" s="17" t="s">
        <v>1884</v>
      </c>
      <c r="C378" s="25" t="s">
        <v>49</v>
      </c>
      <c r="F378" s="1"/>
      <c r="G378" s="3"/>
    </row>
    <row r="379" spans="1:7">
      <c r="A379" s="23">
        <v>378</v>
      </c>
      <c r="B379" s="17" t="s">
        <v>1885</v>
      </c>
      <c r="C379" s="25" t="s">
        <v>1886</v>
      </c>
      <c r="F379" s="1"/>
      <c r="G379" s="3"/>
    </row>
    <row r="380" spans="1:7">
      <c r="A380" s="23">
        <v>379</v>
      </c>
      <c r="B380" s="17" t="s">
        <v>1887</v>
      </c>
      <c r="C380" s="25" t="s">
        <v>1887</v>
      </c>
      <c r="F380" s="1"/>
      <c r="G380" s="3"/>
    </row>
    <row r="381" spans="1:7">
      <c r="A381" s="23">
        <v>380</v>
      </c>
      <c r="B381" s="17" t="s">
        <v>1888</v>
      </c>
      <c r="C381" s="25" t="s">
        <v>200</v>
      </c>
      <c r="F381" s="1"/>
      <c r="G381" s="3"/>
    </row>
    <row r="382" spans="1:7">
      <c r="A382" s="23">
        <v>381</v>
      </c>
      <c r="B382" s="17" t="s">
        <v>1889</v>
      </c>
      <c r="C382" s="25" t="s">
        <v>70</v>
      </c>
      <c r="F382" s="1"/>
      <c r="G382" s="3"/>
    </row>
    <row r="383" spans="1:7">
      <c r="A383" s="23">
        <v>382</v>
      </c>
      <c r="B383" s="17" t="s">
        <v>1890</v>
      </c>
      <c r="C383" s="25" t="s">
        <v>122</v>
      </c>
      <c r="F383" s="1"/>
      <c r="G383" s="3"/>
    </row>
    <row r="384" spans="1:7">
      <c r="A384" s="23">
        <v>383</v>
      </c>
      <c r="B384" s="17" t="s">
        <v>1891</v>
      </c>
      <c r="C384" s="25" t="s">
        <v>1592</v>
      </c>
      <c r="F384" s="1"/>
      <c r="G384" s="3"/>
    </row>
    <row r="385" spans="1:7">
      <c r="A385" s="23">
        <v>384</v>
      </c>
      <c r="B385" s="17" t="s">
        <v>1892</v>
      </c>
      <c r="C385" s="25" t="s">
        <v>90</v>
      </c>
      <c r="F385" s="1"/>
      <c r="G385" s="3"/>
    </row>
    <row r="386" spans="1:7">
      <c r="A386" s="23">
        <v>385</v>
      </c>
      <c r="B386" s="17" t="s">
        <v>1893</v>
      </c>
      <c r="C386" s="25" t="s">
        <v>90</v>
      </c>
      <c r="F386" s="1"/>
      <c r="G386" s="3"/>
    </row>
    <row r="387" spans="1:7">
      <c r="A387" s="23">
        <v>386</v>
      </c>
      <c r="B387" s="17" t="s">
        <v>1894</v>
      </c>
      <c r="C387" s="25" t="s">
        <v>122</v>
      </c>
      <c r="F387" s="1"/>
      <c r="G387" s="3"/>
    </row>
    <row r="388" spans="1:7">
      <c r="A388" s="23">
        <v>387</v>
      </c>
      <c r="B388" s="17" t="s">
        <v>1895</v>
      </c>
      <c r="C388" s="25" t="s">
        <v>1015</v>
      </c>
      <c r="F388" s="1"/>
      <c r="G388" s="3"/>
    </row>
    <row r="389" spans="1:7">
      <c r="A389" s="23">
        <v>388</v>
      </c>
      <c r="B389" s="17" t="s">
        <v>1896</v>
      </c>
      <c r="C389" s="25" t="s">
        <v>153</v>
      </c>
      <c r="F389" s="1"/>
      <c r="G389" s="3"/>
    </row>
    <row r="390" spans="1:7">
      <c r="A390" s="23">
        <v>389</v>
      </c>
      <c r="B390" s="17" t="s">
        <v>1897</v>
      </c>
      <c r="C390" s="25" t="s">
        <v>1440</v>
      </c>
      <c r="F390" s="1"/>
      <c r="G390" s="3"/>
    </row>
    <row r="391" spans="1:7">
      <c r="A391" s="23">
        <v>390</v>
      </c>
      <c r="B391" s="17" t="s">
        <v>1898</v>
      </c>
      <c r="C391" s="25" t="s">
        <v>172</v>
      </c>
      <c r="F391" s="1"/>
      <c r="G391" s="3"/>
    </row>
    <row r="392" spans="1:7">
      <c r="A392" s="23">
        <v>391</v>
      </c>
      <c r="B392" s="17" t="s">
        <v>1899</v>
      </c>
      <c r="C392" s="25" t="s">
        <v>1900</v>
      </c>
      <c r="F392" s="1"/>
      <c r="G392" s="3"/>
    </row>
    <row r="393" spans="1:7">
      <c r="A393" s="23">
        <v>392</v>
      </c>
      <c r="B393" s="17" t="s">
        <v>1901</v>
      </c>
      <c r="C393" s="25" t="s">
        <v>102</v>
      </c>
      <c r="F393" s="1"/>
      <c r="G393" s="3"/>
    </row>
    <row r="394" spans="1:7">
      <c r="A394" s="23">
        <v>393</v>
      </c>
      <c r="B394" s="17" t="s">
        <v>1902</v>
      </c>
      <c r="C394" s="25" t="s">
        <v>1902</v>
      </c>
      <c r="F394" s="1"/>
      <c r="G394" s="3"/>
    </row>
    <row r="395" spans="1:7">
      <c r="A395" s="23">
        <v>394</v>
      </c>
      <c r="B395" s="17" t="s">
        <v>1903</v>
      </c>
      <c r="C395" s="25" t="s">
        <v>122</v>
      </c>
      <c r="F395" s="1"/>
      <c r="G395" s="3"/>
    </row>
    <row r="396" spans="1:7">
      <c r="A396" s="23">
        <v>395</v>
      </c>
      <c r="B396" s="17" t="s">
        <v>1904</v>
      </c>
      <c r="C396" s="25" t="s">
        <v>1747</v>
      </c>
      <c r="F396" s="1"/>
      <c r="G396" s="3"/>
    </row>
    <row r="397" spans="1:7">
      <c r="A397" s="23">
        <v>396</v>
      </c>
      <c r="B397" s="17" t="s">
        <v>1905</v>
      </c>
      <c r="C397" s="25" t="s">
        <v>200</v>
      </c>
      <c r="F397" s="1"/>
      <c r="G397" s="3"/>
    </row>
    <row r="398" spans="1:7">
      <c r="A398" s="23">
        <v>397</v>
      </c>
      <c r="B398" s="17" t="s">
        <v>1906</v>
      </c>
      <c r="C398" s="25" t="s">
        <v>94</v>
      </c>
      <c r="F398" s="1"/>
      <c r="G398" s="3"/>
    </row>
    <row r="399" spans="1:7">
      <c r="A399" s="23">
        <v>398</v>
      </c>
      <c r="B399" s="17" t="s">
        <v>1907</v>
      </c>
      <c r="C399" s="25" t="s">
        <v>200</v>
      </c>
      <c r="F399" s="1"/>
      <c r="G399" s="3"/>
    </row>
    <row r="400" spans="1:7">
      <c r="A400" s="23">
        <v>399</v>
      </c>
      <c r="B400" s="17" t="s">
        <v>1908</v>
      </c>
      <c r="C400" s="25" t="s">
        <v>172</v>
      </c>
      <c r="F400" s="1"/>
      <c r="G400" s="3"/>
    </row>
    <row r="401" spans="1:7">
      <c r="A401" s="23">
        <v>400</v>
      </c>
      <c r="B401" s="17" t="s">
        <v>1909</v>
      </c>
      <c r="C401" s="25" t="s">
        <v>64</v>
      </c>
      <c r="F401" s="1"/>
      <c r="G401" s="3"/>
    </row>
    <row r="402" spans="1:7">
      <c r="A402" s="23">
        <v>401</v>
      </c>
      <c r="B402" s="17" t="s">
        <v>1910</v>
      </c>
      <c r="C402" s="25" t="s">
        <v>64</v>
      </c>
      <c r="F402" s="1"/>
      <c r="G402" s="3"/>
    </row>
    <row r="403" spans="1:7">
      <c r="A403" s="23">
        <v>402</v>
      </c>
      <c r="B403" s="17" t="s">
        <v>1911</v>
      </c>
      <c r="C403" s="25" t="s">
        <v>39</v>
      </c>
      <c r="F403" s="1"/>
      <c r="G403" s="3"/>
    </row>
    <row r="404" spans="1:7">
      <c r="A404" s="23">
        <v>403</v>
      </c>
      <c r="B404" s="17" t="s">
        <v>1912</v>
      </c>
      <c r="C404" s="25" t="s">
        <v>94</v>
      </c>
      <c r="F404" s="1"/>
      <c r="G404" s="3"/>
    </row>
    <row r="405" spans="1:7">
      <c r="A405" s="23">
        <v>404</v>
      </c>
      <c r="B405" s="17" t="s">
        <v>1913</v>
      </c>
      <c r="C405" s="25" t="s">
        <v>999</v>
      </c>
      <c r="F405" s="1"/>
      <c r="G405" s="3"/>
    </row>
    <row r="406" spans="1:7">
      <c r="A406" s="23">
        <v>405</v>
      </c>
      <c r="B406" s="17" t="s">
        <v>1914</v>
      </c>
      <c r="C406" s="25" t="s">
        <v>114</v>
      </c>
      <c r="F406" s="1"/>
      <c r="G406" s="3"/>
    </row>
    <row r="407" spans="1:7">
      <c r="A407" s="23">
        <v>406</v>
      </c>
      <c r="B407" s="17" t="s">
        <v>1915</v>
      </c>
      <c r="C407" s="25" t="s">
        <v>1916</v>
      </c>
      <c r="F407" s="1"/>
      <c r="G407" s="3"/>
    </row>
    <row r="408" spans="1:7">
      <c r="A408" s="23">
        <v>407</v>
      </c>
      <c r="B408" s="17" t="s">
        <v>1917</v>
      </c>
      <c r="C408" s="25" t="s">
        <v>118</v>
      </c>
      <c r="F408" s="1"/>
      <c r="G408" s="3"/>
    </row>
    <row r="409" spans="1:7">
      <c r="A409" s="23">
        <v>408</v>
      </c>
      <c r="B409" s="17" t="s">
        <v>1918</v>
      </c>
      <c r="C409" s="25" t="s">
        <v>58</v>
      </c>
      <c r="F409" s="1"/>
      <c r="G409" s="3"/>
    </row>
    <row r="410" spans="1:7">
      <c r="A410" s="23">
        <v>409</v>
      </c>
      <c r="B410" s="17" t="s">
        <v>1919</v>
      </c>
      <c r="C410" s="25" t="s">
        <v>94</v>
      </c>
      <c r="F410" s="1"/>
      <c r="G410" s="3"/>
    </row>
    <row r="411" spans="1:7">
      <c r="A411" s="23">
        <v>410</v>
      </c>
      <c r="B411" s="17" t="s">
        <v>1920</v>
      </c>
      <c r="C411" s="25" t="s">
        <v>1886</v>
      </c>
      <c r="F411" s="1"/>
      <c r="G411" s="3"/>
    </row>
    <row r="412" spans="1:7">
      <c r="A412" s="23">
        <v>411</v>
      </c>
      <c r="B412" s="17" t="s">
        <v>1921</v>
      </c>
      <c r="C412" s="25" t="s">
        <v>122</v>
      </c>
      <c r="F412" s="1"/>
      <c r="G412" s="3"/>
    </row>
    <row r="413" spans="1:7">
      <c r="A413" s="23">
        <v>412</v>
      </c>
      <c r="B413" s="17" t="s">
        <v>1922</v>
      </c>
      <c r="C413" s="25" t="s">
        <v>110</v>
      </c>
      <c r="F413" s="1"/>
      <c r="G413" s="3"/>
    </row>
    <row r="414" spans="1:7">
      <c r="A414" s="23">
        <v>413</v>
      </c>
      <c r="B414" s="17" t="s">
        <v>1923</v>
      </c>
      <c r="C414" s="25" t="s">
        <v>86</v>
      </c>
      <c r="F414" s="1"/>
      <c r="G414" s="3"/>
    </row>
    <row r="415" spans="1:7">
      <c r="A415" s="23">
        <v>414</v>
      </c>
      <c r="B415" s="17" t="s">
        <v>1924</v>
      </c>
      <c r="C415" s="25" t="s">
        <v>94</v>
      </c>
      <c r="F415" s="1"/>
      <c r="G415" s="3"/>
    </row>
    <row r="416" spans="1:7">
      <c r="A416" s="23">
        <v>415</v>
      </c>
      <c r="B416" s="17" t="s">
        <v>1925</v>
      </c>
      <c r="C416" s="25" t="s">
        <v>1926</v>
      </c>
      <c r="F416" s="1"/>
      <c r="G416" s="3"/>
    </row>
    <row r="417" spans="1:7">
      <c r="A417" s="23">
        <v>416</v>
      </c>
      <c r="B417" s="17" t="s">
        <v>1927</v>
      </c>
      <c r="C417" s="25" t="s">
        <v>114</v>
      </c>
      <c r="F417" s="1"/>
      <c r="G417" s="3"/>
    </row>
    <row r="418" spans="1:7">
      <c r="A418" s="23">
        <v>417</v>
      </c>
      <c r="B418" s="17" t="s">
        <v>1928</v>
      </c>
      <c r="C418" s="25" t="s">
        <v>145</v>
      </c>
      <c r="F418" s="1"/>
      <c r="G418" s="3"/>
    </row>
    <row r="419" spans="1:7">
      <c r="A419" s="23">
        <v>418</v>
      </c>
      <c r="B419" s="17" t="s">
        <v>1929</v>
      </c>
      <c r="C419" s="25" t="s">
        <v>1930</v>
      </c>
      <c r="F419" s="1"/>
      <c r="G419" s="3"/>
    </row>
    <row r="420" spans="1:7">
      <c r="A420" s="23">
        <v>419</v>
      </c>
      <c r="B420" s="17" t="s">
        <v>1931</v>
      </c>
      <c r="C420" s="25" t="s">
        <v>94</v>
      </c>
      <c r="F420" s="1"/>
      <c r="G420" s="3"/>
    </row>
    <row r="421" spans="1:7">
      <c r="A421" s="23">
        <v>420</v>
      </c>
      <c r="B421" s="17" t="s">
        <v>1932</v>
      </c>
      <c r="C421" s="25" t="s">
        <v>122</v>
      </c>
      <c r="F421" s="1"/>
      <c r="G421" s="3"/>
    </row>
    <row r="422" spans="1:7">
      <c r="A422" s="23">
        <v>421</v>
      </c>
      <c r="B422" s="17" t="s">
        <v>1933</v>
      </c>
      <c r="C422" s="25" t="s">
        <v>200</v>
      </c>
      <c r="F422" s="1"/>
      <c r="G422" s="3"/>
    </row>
    <row r="423" spans="1:7">
      <c r="A423" s="23">
        <v>422</v>
      </c>
      <c r="B423" s="17" t="s">
        <v>1934</v>
      </c>
      <c r="C423" s="25" t="s">
        <v>126</v>
      </c>
      <c r="G423" s="3"/>
    </row>
    <row r="424" spans="1:7">
      <c r="A424" s="23">
        <v>423</v>
      </c>
      <c r="B424" s="17" t="s">
        <v>1935</v>
      </c>
      <c r="C424" s="25" t="s">
        <v>134</v>
      </c>
      <c r="F424" s="1"/>
      <c r="G424" s="3"/>
    </row>
    <row r="425" spans="1:7">
      <c r="A425" s="23">
        <v>424</v>
      </c>
      <c r="B425" s="17" t="s">
        <v>1936</v>
      </c>
      <c r="C425" s="25" t="s">
        <v>90</v>
      </c>
      <c r="F425" s="1"/>
      <c r="G425" s="3"/>
    </row>
    <row r="426" spans="1:7">
      <c r="A426" s="23">
        <v>425</v>
      </c>
      <c r="B426" s="17" t="s">
        <v>1937</v>
      </c>
      <c r="C426" s="25" t="s">
        <v>172</v>
      </c>
      <c r="F426" s="1"/>
      <c r="G426" s="3"/>
    </row>
    <row r="427" spans="1:7">
      <c r="A427" s="23">
        <v>426</v>
      </c>
      <c r="B427" s="17" t="s">
        <v>1938</v>
      </c>
      <c r="C427" s="25" t="s">
        <v>122</v>
      </c>
      <c r="F427" s="1"/>
      <c r="G427" s="3"/>
    </row>
    <row r="428" spans="1:7">
      <c r="A428" s="23">
        <v>427</v>
      </c>
      <c r="B428" s="17" t="s">
        <v>1939</v>
      </c>
      <c r="C428" s="25" t="s">
        <v>32</v>
      </c>
      <c r="F428" s="1"/>
      <c r="G428" s="3"/>
    </row>
    <row r="429" spans="1:7">
      <c r="A429" s="23">
        <v>428</v>
      </c>
      <c r="B429" s="17" t="s">
        <v>1940</v>
      </c>
      <c r="C429" s="25" t="s">
        <v>1941</v>
      </c>
      <c r="F429" s="1"/>
      <c r="G429" s="3"/>
    </row>
    <row r="430" spans="1:7">
      <c r="A430" s="23">
        <v>429</v>
      </c>
      <c r="B430" s="17" t="s">
        <v>1942</v>
      </c>
      <c r="C430" s="25" t="s">
        <v>102</v>
      </c>
      <c r="F430" s="1"/>
      <c r="G430" s="3"/>
    </row>
    <row r="431" spans="1:7">
      <c r="A431" s="23">
        <v>430</v>
      </c>
      <c r="B431" s="17" t="s">
        <v>1943</v>
      </c>
      <c r="C431" s="25" t="s">
        <v>90</v>
      </c>
      <c r="F431" s="1"/>
      <c r="G431" s="3"/>
    </row>
    <row r="432" spans="1:7">
      <c r="A432" s="23">
        <v>431</v>
      </c>
      <c r="B432" s="17" t="s">
        <v>1944</v>
      </c>
      <c r="C432" s="25" t="s">
        <v>1945</v>
      </c>
      <c r="F432" s="1"/>
      <c r="G432" s="3"/>
    </row>
    <row r="433" spans="1:7">
      <c r="A433" s="23">
        <v>432</v>
      </c>
      <c r="B433" s="17" t="s">
        <v>1946</v>
      </c>
      <c r="C433" s="25" t="s">
        <v>94</v>
      </c>
      <c r="F433" s="1"/>
      <c r="G433" s="3"/>
    </row>
    <row r="434" spans="1:7">
      <c r="A434" s="23">
        <v>433</v>
      </c>
      <c r="B434" s="17" t="s">
        <v>1947</v>
      </c>
      <c r="C434" s="25" t="s">
        <v>1948</v>
      </c>
      <c r="F434" s="1"/>
      <c r="G434" s="3"/>
    </row>
    <row r="435" spans="1:7">
      <c r="A435" s="23">
        <v>434</v>
      </c>
      <c r="B435" s="17" t="s">
        <v>1949</v>
      </c>
      <c r="C435" s="25" t="s">
        <v>94</v>
      </c>
      <c r="F435" s="1"/>
      <c r="G435" s="3"/>
    </row>
    <row r="436" spans="1:7">
      <c r="A436" s="23">
        <v>435</v>
      </c>
      <c r="B436" s="17" t="s">
        <v>1950</v>
      </c>
      <c r="C436" s="25" t="s">
        <v>94</v>
      </c>
      <c r="F436" s="1"/>
      <c r="G436" s="3"/>
    </row>
    <row r="437" spans="1:7">
      <c r="A437" s="23">
        <v>436</v>
      </c>
      <c r="B437" s="17" t="s">
        <v>1951</v>
      </c>
      <c r="C437" s="25" t="s">
        <v>106</v>
      </c>
      <c r="F437" s="1"/>
      <c r="G437" s="3"/>
    </row>
    <row r="438" spans="1:7">
      <c r="A438" s="23">
        <v>437</v>
      </c>
      <c r="B438" s="17" t="s">
        <v>1952</v>
      </c>
      <c r="C438" s="25" t="s">
        <v>94</v>
      </c>
      <c r="F438" s="1"/>
      <c r="G438" s="3"/>
    </row>
    <row r="439" spans="1:7">
      <c r="A439" s="23">
        <v>438</v>
      </c>
      <c r="B439" s="17" t="s">
        <v>1953</v>
      </c>
      <c r="C439" s="25" t="s">
        <v>114</v>
      </c>
      <c r="F439" s="1"/>
      <c r="G439" s="3"/>
    </row>
    <row r="440" spans="1:7">
      <c r="A440" s="23">
        <v>439</v>
      </c>
      <c r="B440" s="17" t="s">
        <v>1954</v>
      </c>
      <c r="C440" s="25" t="s">
        <v>42</v>
      </c>
      <c r="F440" s="1"/>
      <c r="G440" s="3"/>
    </row>
    <row r="441" spans="1:7">
      <c r="A441" s="23">
        <v>440</v>
      </c>
      <c r="B441" s="17" t="s">
        <v>1955</v>
      </c>
      <c r="C441" s="25" t="s">
        <v>1956</v>
      </c>
      <c r="F441" s="1"/>
      <c r="G441" s="3"/>
    </row>
    <row r="442" spans="1:7">
      <c r="A442" s="23">
        <v>441</v>
      </c>
      <c r="B442" s="17" t="s">
        <v>1957</v>
      </c>
      <c r="C442" s="25" t="s">
        <v>134</v>
      </c>
      <c r="F442" s="1"/>
      <c r="G442" s="3"/>
    </row>
    <row r="443" spans="1:7">
      <c r="A443" s="23">
        <v>442</v>
      </c>
      <c r="B443" s="17" t="s">
        <v>1958</v>
      </c>
      <c r="C443" s="25" t="s">
        <v>94</v>
      </c>
      <c r="F443" s="1"/>
      <c r="G443" s="3"/>
    </row>
    <row r="444" spans="1:7">
      <c r="A444" s="23">
        <v>443</v>
      </c>
      <c r="B444" s="17" t="s">
        <v>1959</v>
      </c>
      <c r="C444" s="25" t="s">
        <v>126</v>
      </c>
      <c r="F444" s="1"/>
      <c r="G444" s="3"/>
    </row>
    <row r="445" spans="1:7">
      <c r="A445" s="23">
        <v>444</v>
      </c>
      <c r="B445" s="17" t="s">
        <v>1960</v>
      </c>
      <c r="C445" s="25" t="s">
        <v>86</v>
      </c>
      <c r="F445" s="1"/>
      <c r="G445" s="3"/>
    </row>
    <row r="446" spans="1:7">
      <c r="A446" s="23">
        <v>445</v>
      </c>
      <c r="B446" s="17" t="s">
        <v>1961</v>
      </c>
      <c r="C446" s="25" t="s">
        <v>106</v>
      </c>
      <c r="F446" s="1"/>
      <c r="G446" s="3"/>
    </row>
    <row r="447" spans="1:7">
      <c r="A447" s="23">
        <v>446</v>
      </c>
      <c r="B447" s="17" t="s">
        <v>1962</v>
      </c>
      <c r="C447" s="25" t="s">
        <v>122</v>
      </c>
      <c r="F447" s="1"/>
      <c r="G447" s="3"/>
    </row>
    <row r="448" spans="1:7">
      <c r="A448" s="23">
        <v>447</v>
      </c>
      <c r="B448" s="17" t="s">
        <v>1963</v>
      </c>
      <c r="C448" s="25" t="s">
        <v>176</v>
      </c>
      <c r="F448" s="1"/>
      <c r="G448" s="3"/>
    </row>
    <row r="449" spans="1:7">
      <c r="A449" s="23">
        <v>448</v>
      </c>
      <c r="B449" s="17" t="s">
        <v>1964</v>
      </c>
      <c r="C449" s="25" t="s">
        <v>94</v>
      </c>
      <c r="F449" s="1"/>
      <c r="G449" s="3"/>
    </row>
    <row r="450" spans="1:7">
      <c r="A450" s="23">
        <v>449</v>
      </c>
      <c r="B450" s="17" t="s">
        <v>1965</v>
      </c>
      <c r="C450" s="25" t="s">
        <v>94</v>
      </c>
      <c r="F450" s="1"/>
      <c r="G450" s="3"/>
    </row>
    <row r="451" spans="1:7">
      <c r="A451" s="23">
        <v>450</v>
      </c>
      <c r="B451" s="17" t="s">
        <v>1966</v>
      </c>
      <c r="C451" s="25" t="s">
        <v>126</v>
      </c>
      <c r="F451" s="1"/>
      <c r="G451" s="3"/>
    </row>
    <row r="452" spans="1:7">
      <c r="A452" s="23">
        <v>451</v>
      </c>
      <c r="B452" s="17" t="s">
        <v>1967</v>
      </c>
      <c r="C452" s="25" t="s">
        <v>149</v>
      </c>
      <c r="F452" s="1"/>
      <c r="G452" s="3"/>
    </row>
    <row r="453" spans="1:7">
      <c r="A453" s="23">
        <v>452</v>
      </c>
      <c r="B453" s="17" t="s">
        <v>1968</v>
      </c>
      <c r="C453" s="25" t="s">
        <v>200</v>
      </c>
      <c r="F453" s="1"/>
      <c r="G453" s="3"/>
    </row>
    <row r="454" spans="1:7">
      <c r="A454" s="23">
        <v>453</v>
      </c>
      <c r="B454" s="17" t="s">
        <v>1969</v>
      </c>
      <c r="C454" s="25" t="s">
        <v>122</v>
      </c>
      <c r="F454" s="1"/>
      <c r="G454" s="3"/>
    </row>
    <row r="455" spans="1:7">
      <c r="A455" s="23">
        <v>454</v>
      </c>
      <c r="B455" s="17" t="s">
        <v>1970</v>
      </c>
      <c r="C455" s="25" t="s">
        <v>1852</v>
      </c>
      <c r="F455" s="1"/>
      <c r="G455" s="3"/>
    </row>
    <row r="456" spans="1:7">
      <c r="A456" s="23">
        <v>455</v>
      </c>
      <c r="B456" s="17" t="s">
        <v>1971</v>
      </c>
      <c r="C456" s="25" t="s">
        <v>1972</v>
      </c>
      <c r="F456" s="1"/>
      <c r="G456" s="3"/>
    </row>
    <row r="457" spans="1:7">
      <c r="A457" s="23">
        <v>456</v>
      </c>
      <c r="B457" s="17" t="s">
        <v>1973</v>
      </c>
      <c r="C457" s="25" t="s">
        <v>102</v>
      </c>
      <c r="F457" s="1"/>
      <c r="G457" s="3"/>
    </row>
    <row r="458" spans="1:7">
      <c r="A458" s="23">
        <v>457</v>
      </c>
      <c r="B458" s="17" t="s">
        <v>1974</v>
      </c>
      <c r="C458" s="25" t="s">
        <v>102</v>
      </c>
      <c r="F458" s="1"/>
      <c r="G458" s="3"/>
    </row>
    <row r="459" spans="1:7">
      <c r="A459" s="23">
        <v>458</v>
      </c>
      <c r="B459" s="17" t="s">
        <v>1975</v>
      </c>
      <c r="C459" s="25" t="s">
        <v>94</v>
      </c>
      <c r="F459" s="1"/>
      <c r="G459" s="3"/>
    </row>
    <row r="460" spans="1:7">
      <c r="A460" s="23">
        <v>459</v>
      </c>
      <c r="B460" s="17" t="s">
        <v>1976</v>
      </c>
      <c r="C460" s="25" t="s">
        <v>122</v>
      </c>
      <c r="F460" s="1"/>
      <c r="G460" s="3"/>
    </row>
    <row r="461" spans="1:7">
      <c r="A461" s="23">
        <v>460</v>
      </c>
      <c r="B461" s="17" t="s">
        <v>1977</v>
      </c>
      <c r="C461" s="25" t="s">
        <v>32</v>
      </c>
      <c r="F461" s="1"/>
      <c r="G461" s="3"/>
    </row>
    <row r="462" spans="1:7">
      <c r="A462" s="23">
        <v>461</v>
      </c>
      <c r="B462" s="17" t="s">
        <v>1978</v>
      </c>
      <c r="C462" s="25" t="s">
        <v>149</v>
      </c>
      <c r="F462" s="1"/>
      <c r="G462" s="3"/>
    </row>
    <row r="463" spans="1:7">
      <c r="A463" s="23">
        <v>462</v>
      </c>
      <c r="B463" s="17" t="s">
        <v>1979</v>
      </c>
      <c r="C463" s="25" t="s">
        <v>153</v>
      </c>
      <c r="F463" s="1"/>
      <c r="G463" s="3"/>
    </row>
    <row r="464" spans="1:7">
      <c r="A464" s="23">
        <v>463</v>
      </c>
      <c r="B464" s="17" t="s">
        <v>1980</v>
      </c>
      <c r="C464" s="25" t="s">
        <v>102</v>
      </c>
      <c r="F464" s="1"/>
      <c r="G464" s="3"/>
    </row>
    <row r="465" spans="1:7">
      <c r="A465" s="23">
        <v>464</v>
      </c>
      <c r="B465" s="17" t="s">
        <v>1981</v>
      </c>
      <c r="C465" s="25" t="s">
        <v>153</v>
      </c>
      <c r="F465" s="1"/>
      <c r="G465" s="3"/>
    </row>
    <row r="466" spans="1:7">
      <c r="A466" s="23">
        <v>465</v>
      </c>
      <c r="B466" s="17" t="s">
        <v>1982</v>
      </c>
      <c r="C466" s="25" t="s">
        <v>122</v>
      </c>
      <c r="F466" s="1"/>
      <c r="G466" s="3"/>
    </row>
    <row r="467" spans="1:7">
      <c r="A467" s="23">
        <v>466</v>
      </c>
      <c r="B467" s="17" t="s">
        <v>1983</v>
      </c>
      <c r="C467" s="25" t="s">
        <v>1984</v>
      </c>
      <c r="F467" s="1"/>
      <c r="G467" s="3"/>
    </row>
    <row r="468" spans="1:7">
      <c r="A468" s="23">
        <v>467</v>
      </c>
      <c r="B468" s="17" t="s">
        <v>1985</v>
      </c>
      <c r="C468" s="25" t="s">
        <v>176</v>
      </c>
      <c r="F468" s="1"/>
      <c r="G468" s="3"/>
    </row>
    <row r="469" spans="1:7">
      <c r="A469" s="23">
        <v>468</v>
      </c>
      <c r="B469" s="17" t="s">
        <v>1986</v>
      </c>
      <c r="C469" s="25" t="s">
        <v>94</v>
      </c>
      <c r="F469" s="1"/>
      <c r="G469" s="3"/>
    </row>
    <row r="470" spans="1:7">
      <c r="A470" s="23">
        <v>469</v>
      </c>
      <c r="B470" s="17" t="s">
        <v>1987</v>
      </c>
      <c r="C470" s="25" t="s">
        <v>94</v>
      </c>
      <c r="F470" s="1"/>
      <c r="G470" s="3"/>
    </row>
    <row r="471" spans="1:7">
      <c r="A471" s="23">
        <v>470</v>
      </c>
      <c r="B471" s="17" t="s">
        <v>1988</v>
      </c>
      <c r="C471" s="25" t="s">
        <v>122</v>
      </c>
      <c r="F471" s="1"/>
      <c r="G471" s="3"/>
    </row>
    <row r="472" spans="1:7">
      <c r="A472" s="23">
        <v>471</v>
      </c>
      <c r="B472" s="17" t="s">
        <v>1989</v>
      </c>
      <c r="C472" s="25" t="s">
        <v>36</v>
      </c>
      <c r="G472" s="3"/>
    </row>
    <row r="473" spans="1:7">
      <c r="A473" s="23">
        <v>472</v>
      </c>
      <c r="B473" s="17" t="s">
        <v>1990</v>
      </c>
      <c r="C473" s="25" t="s">
        <v>1015</v>
      </c>
      <c r="F473" s="1"/>
      <c r="G473" s="3"/>
    </row>
    <row r="474" spans="1:7">
      <c r="A474" s="23">
        <v>473</v>
      </c>
      <c r="B474" s="17" t="s">
        <v>1991</v>
      </c>
      <c r="C474" s="25" t="s">
        <v>94</v>
      </c>
      <c r="F474" s="1"/>
      <c r="G474" s="3"/>
    </row>
    <row r="475" spans="1:7">
      <c r="A475" s="23">
        <v>474</v>
      </c>
      <c r="B475" s="17" t="s">
        <v>1992</v>
      </c>
      <c r="C475" s="25" t="s">
        <v>126</v>
      </c>
      <c r="F475" s="1"/>
      <c r="G475" s="3"/>
    </row>
    <row r="476" spans="1:7">
      <c r="A476" s="23">
        <v>475</v>
      </c>
      <c r="B476" s="17" t="s">
        <v>1993</v>
      </c>
      <c r="C476" s="25" t="s">
        <v>106</v>
      </c>
      <c r="F476" s="1"/>
      <c r="G476" s="3"/>
    </row>
    <row r="477" spans="1:7">
      <c r="A477" s="23">
        <v>476</v>
      </c>
      <c r="B477" s="17" t="s">
        <v>1994</v>
      </c>
      <c r="C477" s="25" t="s">
        <v>110</v>
      </c>
      <c r="F477" s="1"/>
      <c r="G477" s="3"/>
    </row>
    <row r="478" spans="1:7">
      <c r="A478" s="23">
        <v>477</v>
      </c>
      <c r="B478" s="17" t="s">
        <v>1995</v>
      </c>
      <c r="C478" s="25" t="s">
        <v>67</v>
      </c>
      <c r="F478" s="1"/>
      <c r="G478" s="3"/>
    </row>
    <row r="479" spans="1:7">
      <c r="A479" s="23">
        <v>478</v>
      </c>
      <c r="B479" s="17" t="s">
        <v>1996</v>
      </c>
      <c r="C479" s="25" t="s">
        <v>118</v>
      </c>
      <c r="F479" s="1"/>
      <c r="G479" s="3"/>
    </row>
    <row r="480" spans="1:7">
      <c r="A480" s="23">
        <v>479</v>
      </c>
      <c r="B480" s="17" t="s">
        <v>1997</v>
      </c>
      <c r="C480" s="25" t="s">
        <v>188</v>
      </c>
      <c r="F480" s="1"/>
      <c r="G480" s="3"/>
    </row>
    <row r="481" spans="1:7">
      <c r="A481" s="23">
        <v>480</v>
      </c>
      <c r="B481" s="17" t="s">
        <v>1998</v>
      </c>
      <c r="C481" s="25" t="s">
        <v>126</v>
      </c>
      <c r="F481" s="1"/>
      <c r="G481" s="3"/>
    </row>
    <row r="482" spans="1:7">
      <c r="A482" s="23">
        <v>481</v>
      </c>
      <c r="B482" s="17" t="s">
        <v>1999</v>
      </c>
      <c r="C482" s="25" t="s">
        <v>176</v>
      </c>
      <c r="F482" s="1"/>
      <c r="G482" s="3"/>
    </row>
    <row r="483" spans="1:7">
      <c r="A483" s="23">
        <v>482</v>
      </c>
      <c r="B483" s="17" t="s">
        <v>2000</v>
      </c>
      <c r="C483" s="25" t="s">
        <v>122</v>
      </c>
      <c r="F483" s="1"/>
      <c r="G483" s="3"/>
    </row>
    <row r="484" spans="1:7">
      <c r="A484" s="23">
        <v>483</v>
      </c>
      <c r="B484" s="17" t="s">
        <v>2001</v>
      </c>
      <c r="C484" s="25" t="s">
        <v>2002</v>
      </c>
      <c r="F484" s="1"/>
      <c r="G484" s="3"/>
    </row>
    <row r="485" spans="1:7">
      <c r="A485" s="23">
        <v>484</v>
      </c>
      <c r="B485" s="17" t="s">
        <v>2003</v>
      </c>
      <c r="C485" s="25" t="s">
        <v>200</v>
      </c>
      <c r="F485" s="1"/>
      <c r="G485" s="3"/>
    </row>
    <row r="486" spans="1:7">
      <c r="A486" s="23">
        <v>485</v>
      </c>
      <c r="B486" s="17" t="s">
        <v>2004</v>
      </c>
      <c r="C486" s="25" t="s">
        <v>176</v>
      </c>
      <c r="F486" s="1"/>
      <c r="G486" s="3"/>
    </row>
    <row r="487" spans="1:7">
      <c r="A487" s="23">
        <v>486</v>
      </c>
      <c r="B487" s="17" t="s">
        <v>2005</v>
      </c>
      <c r="C487" s="25" t="s">
        <v>145</v>
      </c>
      <c r="F487" s="1"/>
      <c r="G487" s="3"/>
    </row>
    <row r="488" spans="1:7">
      <c r="A488" s="23">
        <v>487</v>
      </c>
      <c r="B488" s="17" t="s">
        <v>2006</v>
      </c>
      <c r="C488" s="25" t="s">
        <v>86</v>
      </c>
      <c r="F488" s="1"/>
      <c r="G488" s="3"/>
    </row>
    <row r="489" spans="1:7">
      <c r="A489" s="23">
        <v>488</v>
      </c>
      <c r="B489" s="17" t="s">
        <v>2007</v>
      </c>
      <c r="C489" s="25" t="s">
        <v>1564</v>
      </c>
      <c r="F489" s="1"/>
      <c r="G489" s="3"/>
    </row>
    <row r="490" spans="1:7">
      <c r="A490" s="23">
        <v>489</v>
      </c>
      <c r="B490" s="17" t="s">
        <v>2008</v>
      </c>
      <c r="C490" s="25" t="s">
        <v>122</v>
      </c>
      <c r="F490" s="1"/>
      <c r="G490" s="3"/>
    </row>
    <row r="491" spans="1:7">
      <c r="A491" s="23">
        <v>490</v>
      </c>
      <c r="B491" s="17" t="s">
        <v>2009</v>
      </c>
      <c r="C491" s="25" t="s">
        <v>122</v>
      </c>
      <c r="F491" s="1"/>
      <c r="G491" s="3"/>
    </row>
    <row r="492" spans="1:7">
      <c r="A492" s="23">
        <v>491</v>
      </c>
      <c r="B492" s="17" t="s">
        <v>2010</v>
      </c>
      <c r="C492" s="25" t="s">
        <v>49</v>
      </c>
      <c r="F492" s="1"/>
      <c r="G492" s="3"/>
    </row>
    <row r="493" spans="1:7">
      <c r="A493" s="23">
        <v>492</v>
      </c>
      <c r="B493" s="17" t="s">
        <v>2011</v>
      </c>
      <c r="C493" s="25" t="s">
        <v>2012</v>
      </c>
      <c r="F493" s="1"/>
      <c r="G493" s="3"/>
    </row>
    <row r="494" spans="1:7">
      <c r="A494" s="23">
        <v>493</v>
      </c>
      <c r="B494" s="17" t="s">
        <v>2013</v>
      </c>
      <c r="C494" s="25" t="s">
        <v>2014</v>
      </c>
      <c r="F494" s="1"/>
      <c r="G494" s="3"/>
    </row>
    <row r="495" spans="1:7">
      <c r="A495" s="23">
        <v>494</v>
      </c>
      <c r="B495" s="17" t="s">
        <v>2015</v>
      </c>
      <c r="C495" s="25" t="s">
        <v>134</v>
      </c>
      <c r="F495" s="1"/>
      <c r="G495" s="3"/>
    </row>
    <row r="496" spans="1:7">
      <c r="A496" s="23">
        <v>495</v>
      </c>
      <c r="B496" s="17" t="s">
        <v>2016</v>
      </c>
      <c r="C496" s="25" t="s">
        <v>134</v>
      </c>
      <c r="F496" s="1"/>
      <c r="G496" s="3"/>
    </row>
    <row r="497" spans="1:7">
      <c r="A497" s="23">
        <v>496</v>
      </c>
      <c r="B497" s="17" t="s">
        <v>2017</v>
      </c>
      <c r="C497" s="25" t="s">
        <v>200</v>
      </c>
      <c r="F497" s="1"/>
      <c r="G497" s="3"/>
    </row>
    <row r="498" spans="1:7">
      <c r="A498" s="23">
        <v>497</v>
      </c>
      <c r="B498" s="17" t="s">
        <v>2018</v>
      </c>
      <c r="C498" s="25" t="s">
        <v>67</v>
      </c>
      <c r="F498" s="1"/>
      <c r="G498" s="3"/>
    </row>
    <row r="499" spans="1:7">
      <c r="A499" s="23">
        <v>498</v>
      </c>
      <c r="B499" s="17" t="s">
        <v>2019</v>
      </c>
      <c r="C499" s="25" t="s">
        <v>58</v>
      </c>
      <c r="F499" s="1"/>
      <c r="G499" s="3"/>
    </row>
    <row r="500" spans="1:7">
      <c r="A500" s="23">
        <v>498</v>
      </c>
      <c r="B500" s="17" t="s">
        <v>2020</v>
      </c>
      <c r="C500" s="25" t="s">
        <v>102</v>
      </c>
      <c r="F500" s="1"/>
      <c r="G500" s="3"/>
    </row>
    <row r="501" spans="1:7">
      <c r="A501" s="28">
        <v>500</v>
      </c>
      <c r="B501" s="29" t="s">
        <v>2021</v>
      </c>
      <c r="C501" s="18" t="s">
        <v>1948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8C886-0FF3-4928-90C2-50DDDDE137F9}">
  <sheetPr codeName="Sheet8"/>
  <dimension ref="A1:E31"/>
  <sheetViews>
    <sheetView workbookViewId="0">
      <selection activeCell="H30" sqref="H30"/>
    </sheetView>
  </sheetViews>
  <sheetFormatPr defaultRowHeight="14.45"/>
  <cols>
    <col min="1" max="1" width="23.42578125" bestFit="1" customWidth="1"/>
    <col min="2" max="2" width="15.42578125" hidden="1" customWidth="1"/>
    <col min="3" max="3" width="40.5703125" customWidth="1"/>
    <col min="4" max="4" width="13.140625" hidden="1" customWidth="1"/>
    <col min="5" max="5" width="22" customWidth="1"/>
  </cols>
  <sheetData>
    <row r="1" spans="1:5">
      <c r="A1" s="14" t="s">
        <v>1299</v>
      </c>
      <c r="B1" s="31" t="s">
        <v>2022</v>
      </c>
      <c r="C1" s="31" t="s">
        <v>82</v>
      </c>
      <c r="D1" s="15" t="s">
        <v>2023</v>
      </c>
      <c r="E1" s="31" t="s">
        <v>2024</v>
      </c>
    </row>
    <row r="2" spans="1:5">
      <c r="A2" s="23" t="s">
        <v>123</v>
      </c>
      <c r="B2" s="48" t="s">
        <v>2025</v>
      </c>
      <c r="C2" s="76">
        <f>VALUE(SUBSTITUTE(SUBSTITUTE(LOWER(B2), "$", "") &amp; "", " billion", "")) * 1000000000</f>
        <v>8800000000</v>
      </c>
      <c r="D2" s="25" t="s">
        <v>2026</v>
      </c>
      <c r="E2" s="75">
        <f t="shared" ref="E2:E30" si="0">VALUE(SUBSTITUTE(SUBSTITUTE(LOWER(D2), "$", "") &amp; "", " million", "")) * 1000000</f>
        <v>142000000</v>
      </c>
    </row>
    <row r="3" spans="1:5">
      <c r="A3" s="23" t="s">
        <v>161</v>
      </c>
      <c r="B3" s="17" t="s">
        <v>2027</v>
      </c>
      <c r="C3" s="76">
        <f t="shared" ref="C3:C31" si="1">VALUE(SUBSTITUTE(SUBSTITUTE(LOWER(B3), "$", "") &amp; "", " billion", "")) * 1000000000</f>
        <v>7500000000</v>
      </c>
      <c r="D3" s="25" t="s">
        <v>2028</v>
      </c>
      <c r="E3" s="75">
        <f t="shared" si="0"/>
        <v>182000000</v>
      </c>
    </row>
    <row r="4" spans="1:5">
      <c r="A4" s="23" t="s">
        <v>138</v>
      </c>
      <c r="B4" s="17" t="s">
        <v>2029</v>
      </c>
      <c r="C4" s="76">
        <f t="shared" si="1"/>
        <v>7100000000</v>
      </c>
      <c r="D4" s="25" t="s">
        <v>2030</v>
      </c>
      <c r="E4" s="75">
        <f t="shared" si="0"/>
        <v>199000000</v>
      </c>
    </row>
    <row r="5" spans="1:5">
      <c r="A5" s="23" t="s">
        <v>91</v>
      </c>
      <c r="B5" s="17" t="s">
        <v>2031</v>
      </c>
      <c r="C5" s="76">
        <f t="shared" si="1"/>
        <v>6000000000</v>
      </c>
      <c r="D5" s="25" t="s">
        <v>2032</v>
      </c>
      <c r="E5" s="75">
        <f t="shared" si="0"/>
        <v>121000000</v>
      </c>
    </row>
    <row r="6" spans="1:5">
      <c r="A6" s="23" t="s">
        <v>135</v>
      </c>
      <c r="B6" s="17" t="s">
        <v>2033</v>
      </c>
      <c r="C6" s="76">
        <f t="shared" si="1"/>
        <v>5500000000</v>
      </c>
      <c r="D6" s="25" t="s">
        <v>2034</v>
      </c>
      <c r="E6" s="75">
        <f t="shared" si="0"/>
        <v>96000000</v>
      </c>
    </row>
    <row r="7" spans="1:5">
      <c r="A7" s="23" t="s">
        <v>103</v>
      </c>
      <c r="B7" s="17" t="s">
        <v>2035</v>
      </c>
      <c r="C7" s="76">
        <f t="shared" si="1"/>
        <v>5000000000</v>
      </c>
      <c r="D7" s="25" t="s">
        <v>2036</v>
      </c>
      <c r="E7" s="75">
        <f t="shared" si="0"/>
        <v>140000000</v>
      </c>
    </row>
    <row r="8" spans="1:5">
      <c r="A8" s="23" t="s">
        <v>127</v>
      </c>
      <c r="B8" s="17" t="s">
        <v>2037</v>
      </c>
      <c r="C8" s="76">
        <f t="shared" si="1"/>
        <v>4900000000</v>
      </c>
      <c r="D8" s="25" t="s">
        <v>2038</v>
      </c>
      <c r="E8" s="75">
        <f t="shared" si="0"/>
        <v>160000000</v>
      </c>
    </row>
    <row r="9" spans="1:5">
      <c r="A9" s="23" t="s">
        <v>95</v>
      </c>
      <c r="B9" s="17" t="s">
        <v>2039</v>
      </c>
      <c r="C9" s="76">
        <f t="shared" si="1"/>
        <v>4800000000</v>
      </c>
      <c r="D9" s="25" t="s">
        <v>2040</v>
      </c>
      <c r="E9" s="75">
        <f t="shared" si="0"/>
        <v>43000000</v>
      </c>
    </row>
    <row r="10" spans="1:5">
      <c r="A10" s="23" t="s">
        <v>111</v>
      </c>
      <c r="B10" s="17" t="s">
        <v>2041</v>
      </c>
      <c r="C10" s="76">
        <f t="shared" si="1"/>
        <v>4700000000</v>
      </c>
      <c r="D10" s="25" t="s">
        <v>2042</v>
      </c>
      <c r="E10" s="75">
        <f t="shared" si="0"/>
        <v>158000000</v>
      </c>
    </row>
    <row r="11" spans="1:5">
      <c r="A11" s="23" t="s">
        <v>173</v>
      </c>
      <c r="B11" s="17" t="s">
        <v>2043</v>
      </c>
      <c r="C11" s="76">
        <f t="shared" si="1"/>
        <v>4600000000</v>
      </c>
      <c r="D11" s="25" t="s">
        <v>2044</v>
      </c>
      <c r="E11" s="75">
        <f t="shared" si="0"/>
        <v>120000000</v>
      </c>
    </row>
    <row r="12" spans="1:5">
      <c r="A12" s="23" t="s">
        <v>193</v>
      </c>
      <c r="B12" s="17" t="s">
        <v>2045</v>
      </c>
      <c r="C12" s="76">
        <f t="shared" si="1"/>
        <v>4400000000</v>
      </c>
      <c r="D12" s="25" t="s">
        <v>2046</v>
      </c>
      <c r="E12" s="75">
        <f t="shared" si="0"/>
        <v>97000000</v>
      </c>
    </row>
    <row r="13" spans="1:5">
      <c r="A13" s="23" t="s">
        <v>177</v>
      </c>
      <c r="B13" s="17" t="s">
        <v>2047</v>
      </c>
      <c r="C13" s="76">
        <f t="shared" si="1"/>
        <v>4300000000</v>
      </c>
      <c r="D13" s="74" t="s">
        <v>2048</v>
      </c>
      <c r="E13" s="75">
        <f t="shared" si="0"/>
        <v>-14000000</v>
      </c>
    </row>
    <row r="14" spans="1:5">
      <c r="A14" s="23" t="s">
        <v>146</v>
      </c>
      <c r="B14" s="17" t="s">
        <v>2049</v>
      </c>
      <c r="C14" s="76">
        <f t="shared" si="1"/>
        <v>4250000000</v>
      </c>
      <c r="D14" s="25" t="s">
        <v>2050</v>
      </c>
      <c r="E14" s="75">
        <f t="shared" si="0"/>
        <v>62000000</v>
      </c>
    </row>
    <row r="15" spans="1:5">
      <c r="A15" s="23" t="s">
        <v>201</v>
      </c>
      <c r="B15" s="17" t="s">
        <v>2051</v>
      </c>
      <c r="C15" s="76">
        <f t="shared" si="1"/>
        <v>4099999999.9999995</v>
      </c>
      <c r="D15" s="25" t="s">
        <v>2052</v>
      </c>
      <c r="E15" s="75">
        <f t="shared" si="0"/>
        <v>118000000</v>
      </c>
    </row>
    <row r="16" spans="1:5">
      <c r="A16" s="23" t="s">
        <v>150</v>
      </c>
      <c r="B16" s="17" t="s">
        <v>2053</v>
      </c>
      <c r="C16" s="76">
        <f t="shared" si="1"/>
        <v>4000000000</v>
      </c>
      <c r="D16" s="74" t="s">
        <v>2054</v>
      </c>
      <c r="E16" s="75">
        <f t="shared" si="0"/>
        <v>-16000000</v>
      </c>
    </row>
    <row r="17" spans="1:5">
      <c r="A17" s="23" t="s">
        <v>107</v>
      </c>
      <c r="B17" s="17" t="s">
        <v>2055</v>
      </c>
      <c r="C17" s="76">
        <f t="shared" si="1"/>
        <v>3950000000</v>
      </c>
      <c r="D17" s="25" t="s">
        <v>2046</v>
      </c>
      <c r="E17" s="75">
        <f t="shared" si="0"/>
        <v>97000000</v>
      </c>
    </row>
    <row r="18" spans="1:5">
      <c r="A18" s="23" t="s">
        <v>115</v>
      </c>
      <c r="B18" s="17" t="s">
        <v>2056</v>
      </c>
      <c r="C18" s="76">
        <f t="shared" si="1"/>
        <v>3900000000</v>
      </c>
      <c r="D18" s="25" t="s">
        <v>2057</v>
      </c>
      <c r="E18" s="75">
        <f t="shared" si="0"/>
        <v>57000000</v>
      </c>
    </row>
    <row r="19" spans="1:5">
      <c r="A19" s="23" t="s">
        <v>189</v>
      </c>
      <c r="B19" s="17" t="s">
        <v>2058</v>
      </c>
      <c r="C19" s="76">
        <f t="shared" si="1"/>
        <v>3850000000</v>
      </c>
      <c r="D19" s="25" t="s">
        <v>2052</v>
      </c>
      <c r="E19" s="75">
        <f t="shared" si="0"/>
        <v>118000000</v>
      </c>
    </row>
    <row r="20" spans="1:5">
      <c r="A20" s="23" t="s">
        <v>87</v>
      </c>
      <c r="B20" s="17" t="s">
        <v>2059</v>
      </c>
      <c r="C20" s="76">
        <f t="shared" si="1"/>
        <v>3800000000</v>
      </c>
      <c r="D20" s="25" t="s">
        <v>2060</v>
      </c>
      <c r="E20" s="75">
        <f t="shared" si="0"/>
        <v>94000000</v>
      </c>
    </row>
    <row r="21" spans="1:5">
      <c r="A21" s="23" t="s">
        <v>185</v>
      </c>
      <c r="B21" s="17" t="s">
        <v>2061</v>
      </c>
      <c r="C21" s="76">
        <f t="shared" si="1"/>
        <v>3700000000</v>
      </c>
      <c r="D21" s="25" t="s">
        <v>2062</v>
      </c>
      <c r="E21" s="75">
        <f t="shared" si="0"/>
        <v>54000000</v>
      </c>
    </row>
    <row r="22" spans="1:5">
      <c r="A22" s="23" t="s">
        <v>165</v>
      </c>
      <c r="B22" s="17" t="s">
        <v>2063</v>
      </c>
      <c r="C22" s="76">
        <f t="shared" si="1"/>
        <v>3650000000</v>
      </c>
      <c r="D22" s="25" t="s">
        <v>2064</v>
      </c>
      <c r="E22" s="75">
        <f t="shared" si="0"/>
        <v>90000000</v>
      </c>
    </row>
    <row r="23" spans="1:5">
      <c r="A23" s="23" t="s">
        <v>131</v>
      </c>
      <c r="B23" s="17" t="s">
        <v>2065</v>
      </c>
      <c r="C23" s="76">
        <f t="shared" si="1"/>
        <v>3600000000</v>
      </c>
      <c r="D23" s="25" t="s">
        <v>2060</v>
      </c>
      <c r="E23" s="75">
        <f t="shared" si="0"/>
        <v>94000000</v>
      </c>
    </row>
    <row r="24" spans="1:5">
      <c r="A24" s="23" t="s">
        <v>197</v>
      </c>
      <c r="B24" s="17" t="s">
        <v>2066</v>
      </c>
      <c r="C24" s="76">
        <f t="shared" si="1"/>
        <v>3550000000</v>
      </c>
      <c r="D24" s="25" t="s">
        <v>2067</v>
      </c>
      <c r="E24" s="75">
        <f t="shared" si="0"/>
        <v>89000000</v>
      </c>
    </row>
    <row r="25" spans="1:5">
      <c r="A25" s="23" t="s">
        <v>181</v>
      </c>
      <c r="B25" s="17" t="s">
        <v>2068</v>
      </c>
      <c r="C25" s="76">
        <f t="shared" si="1"/>
        <v>3500000000</v>
      </c>
      <c r="D25" s="25" t="s">
        <v>2069</v>
      </c>
      <c r="E25" s="75">
        <f t="shared" si="0"/>
        <v>81000000</v>
      </c>
    </row>
    <row r="26" spans="1:5">
      <c r="A26" s="23" t="s">
        <v>119</v>
      </c>
      <c r="B26" s="17" t="s">
        <v>2070</v>
      </c>
      <c r="C26" s="76">
        <f t="shared" si="1"/>
        <v>3400000000</v>
      </c>
      <c r="D26" s="25" t="s">
        <v>2067</v>
      </c>
      <c r="E26" s="75">
        <f t="shared" si="0"/>
        <v>89000000</v>
      </c>
    </row>
    <row r="27" spans="1:5">
      <c r="A27" s="23" t="s">
        <v>99</v>
      </c>
      <c r="B27" s="17" t="s">
        <v>2071</v>
      </c>
      <c r="C27" s="76">
        <f t="shared" si="1"/>
        <v>3300000000</v>
      </c>
      <c r="D27" s="25" t="s">
        <v>2072</v>
      </c>
      <c r="E27" s="75">
        <f t="shared" si="0"/>
        <v>84000000</v>
      </c>
    </row>
    <row r="28" spans="1:5">
      <c r="A28" s="23" t="s">
        <v>169</v>
      </c>
      <c r="B28" s="17" t="s">
        <v>2073</v>
      </c>
      <c r="C28" s="76">
        <f t="shared" si="1"/>
        <v>3200000000</v>
      </c>
      <c r="D28" s="25" t="s">
        <v>2074</v>
      </c>
      <c r="E28" s="75">
        <f t="shared" si="0"/>
        <v>82000000</v>
      </c>
    </row>
    <row r="29" spans="1:5">
      <c r="A29" s="23" t="s">
        <v>154</v>
      </c>
      <c r="B29" s="17" t="s">
        <v>2075</v>
      </c>
      <c r="C29" s="76">
        <f t="shared" si="1"/>
        <v>3100000000</v>
      </c>
      <c r="D29" s="25" t="s">
        <v>2076</v>
      </c>
      <c r="E29" s="75">
        <f t="shared" si="0"/>
        <v>72000000</v>
      </c>
    </row>
    <row r="30" spans="1:5">
      <c r="A30" s="23" t="s">
        <v>158</v>
      </c>
      <c r="B30" s="17" t="s">
        <v>2077</v>
      </c>
      <c r="C30" s="76">
        <f t="shared" si="1"/>
        <v>3050000000</v>
      </c>
      <c r="D30" s="25" t="s">
        <v>2078</v>
      </c>
      <c r="E30" s="75">
        <f t="shared" si="0"/>
        <v>41000000</v>
      </c>
    </row>
    <row r="31" spans="1:5">
      <c r="A31" s="28" t="s">
        <v>142</v>
      </c>
      <c r="B31" s="29" t="s">
        <v>2079</v>
      </c>
      <c r="C31" s="76">
        <f t="shared" si="1"/>
        <v>3000000000</v>
      </c>
      <c r="D31" s="18" t="s">
        <v>2080</v>
      </c>
      <c r="E31" s="75">
        <f>VALUE(SUBSTITUTE(SUBSTITUTE(LOWER(D31), "$", "") &amp; "", " million", "")) * 1000000</f>
        <v>44000000</v>
      </c>
    </row>
  </sheetData>
  <pageMargins left="0.7" right="0.7" top="0.75" bottom="0.75" header="0.3" footer="0.3"/>
  <ignoredErrors>
    <ignoredError sqref="E31" calculatedColumn="1"/>
  </ignoredErrors>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D20DC-09C4-452F-90E0-0D7164ED9AB8}">
  <dimension ref="A3:B25"/>
  <sheetViews>
    <sheetView workbookViewId="0">
      <selection activeCell="L11" sqref="L11"/>
    </sheetView>
  </sheetViews>
  <sheetFormatPr defaultRowHeight="14.45"/>
  <cols>
    <col min="1" max="1" width="37.5703125" bestFit="1" customWidth="1"/>
    <col min="2" max="2" width="24" bestFit="1" customWidth="1"/>
    <col min="3" max="3" width="40" bestFit="1" customWidth="1"/>
    <col min="4" max="17" width="15.42578125" bestFit="1" customWidth="1"/>
    <col min="18" max="18" width="12.5703125" bestFit="1" customWidth="1"/>
    <col min="19" max="19" width="35.42578125" bestFit="1" customWidth="1"/>
    <col min="20" max="20" width="43.42578125" bestFit="1" customWidth="1"/>
    <col min="21" max="21" width="35.42578125" bestFit="1" customWidth="1"/>
    <col min="22" max="22" width="43.42578125" bestFit="1" customWidth="1"/>
    <col min="23" max="23" width="35.42578125" bestFit="1" customWidth="1"/>
    <col min="24" max="24" width="43.42578125" bestFit="1" customWidth="1"/>
    <col min="25" max="25" width="35.42578125" bestFit="1" customWidth="1"/>
    <col min="26" max="26" width="43.42578125" bestFit="1" customWidth="1"/>
    <col min="27" max="27" width="35.42578125" bestFit="1" customWidth="1"/>
    <col min="28" max="28" width="43.42578125" bestFit="1" customWidth="1"/>
    <col min="29" max="29" width="35.42578125" bestFit="1" customWidth="1"/>
    <col min="30" max="30" width="43.42578125" bestFit="1" customWidth="1"/>
    <col min="31" max="31" width="35.42578125" bestFit="1" customWidth="1"/>
    <col min="32" max="32" width="43.42578125" bestFit="1" customWidth="1"/>
    <col min="33" max="33" width="35.42578125" bestFit="1" customWidth="1"/>
    <col min="34" max="34" width="49.5703125" bestFit="1" customWidth="1"/>
    <col min="35" max="35" width="41.5703125" bestFit="1" customWidth="1"/>
  </cols>
  <sheetData>
    <row r="3" spans="1:2">
      <c r="A3" s="93" t="s">
        <v>2081</v>
      </c>
      <c r="B3" t="s">
        <v>2082</v>
      </c>
    </row>
    <row r="4" spans="1:2">
      <c r="A4" s="94" t="s">
        <v>74</v>
      </c>
      <c r="B4" s="13">
        <v>26.320856107139885</v>
      </c>
    </row>
    <row r="5" spans="1:2">
      <c r="A5" s="97" t="s">
        <v>73</v>
      </c>
      <c r="B5" s="96">
        <v>26.320856107139885</v>
      </c>
    </row>
    <row r="6" spans="1:2">
      <c r="A6" s="94" t="s">
        <v>33</v>
      </c>
      <c r="B6" s="13">
        <v>43.475178873894613</v>
      </c>
    </row>
    <row r="7" spans="1:2">
      <c r="A7" s="97" t="s">
        <v>32</v>
      </c>
      <c r="B7" s="96">
        <v>44.171930051461381</v>
      </c>
    </row>
    <row r="8" spans="1:2">
      <c r="A8" s="97" t="s">
        <v>36</v>
      </c>
      <c r="B8" s="96">
        <v>46.827758137048022</v>
      </c>
    </row>
    <row r="9" spans="1:2">
      <c r="A9" s="97" t="s">
        <v>58</v>
      </c>
      <c r="B9" s="96">
        <v>39.425848433174444</v>
      </c>
    </row>
    <row r="10" spans="1:2">
      <c r="A10" s="94" t="s">
        <v>43</v>
      </c>
      <c r="B10" s="13">
        <v>36.79025538022141</v>
      </c>
    </row>
    <row r="11" spans="1:2">
      <c r="A11" s="97" t="s">
        <v>42</v>
      </c>
      <c r="B11" s="96">
        <v>38.520791429120251</v>
      </c>
    </row>
    <row r="12" spans="1:2">
      <c r="A12" s="97" t="s">
        <v>49</v>
      </c>
      <c r="B12" s="96">
        <v>30.663092284060067</v>
      </c>
    </row>
    <row r="13" spans="1:2">
      <c r="A13" s="97" t="s">
        <v>55</v>
      </c>
      <c r="B13" s="96">
        <v>30.708433285404098</v>
      </c>
    </row>
    <row r="14" spans="1:2">
      <c r="A14" s="97" t="s">
        <v>67</v>
      </c>
      <c r="B14" s="96">
        <v>47.268704522301235</v>
      </c>
    </row>
    <row r="15" spans="1:2">
      <c r="A15" s="94" t="s">
        <v>23</v>
      </c>
      <c r="B15" s="13">
        <v>47.000405286300499</v>
      </c>
    </row>
    <row r="16" spans="1:2">
      <c r="A16" s="97" t="s">
        <v>22</v>
      </c>
      <c r="B16" s="96">
        <v>13.070820822490548</v>
      </c>
    </row>
    <row r="17" spans="1:2">
      <c r="A17" s="97" t="s">
        <v>46</v>
      </c>
      <c r="B17" s="96">
        <v>50.414735572110104</v>
      </c>
    </row>
    <row r="18" spans="1:2">
      <c r="A18" s="97" t="s">
        <v>61</v>
      </c>
      <c r="B18" s="96">
        <v>45.613278686578958</v>
      </c>
    </row>
    <row r="19" spans="1:2">
      <c r="A19" s="97" t="s">
        <v>64</v>
      </c>
      <c r="B19" s="96">
        <v>78.902786064022393</v>
      </c>
    </row>
    <row r="20" spans="1:2">
      <c r="A20" s="94" t="s">
        <v>28</v>
      </c>
      <c r="B20" s="13">
        <v>49.674540404925764</v>
      </c>
    </row>
    <row r="21" spans="1:2">
      <c r="A21" s="97" t="s">
        <v>27</v>
      </c>
      <c r="B21" s="96">
        <v>55.859243192649664</v>
      </c>
    </row>
    <row r="22" spans="1:2">
      <c r="A22" s="97" t="s">
        <v>39</v>
      </c>
      <c r="B22" s="96">
        <v>33.602811889718019</v>
      </c>
    </row>
    <row r="23" spans="1:2">
      <c r="A23" s="97" t="s">
        <v>52</v>
      </c>
      <c r="B23" s="96">
        <v>53.853529361947352</v>
      </c>
    </row>
    <row r="24" spans="1:2">
      <c r="A24" s="97" t="s">
        <v>70</v>
      </c>
      <c r="B24" s="96">
        <v>55.382577175388022</v>
      </c>
    </row>
    <row r="25" spans="1:2">
      <c r="A25" s="94" t="s">
        <v>2083</v>
      </c>
      <c r="B25" s="13">
        <v>43.162949813413405</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18F716-D864-44E0-AA84-8F1AAC366476}">
  <dimension ref="A3:C25"/>
  <sheetViews>
    <sheetView workbookViewId="0">
      <selection activeCell="C11" sqref="C11"/>
    </sheetView>
  </sheetViews>
  <sheetFormatPr defaultRowHeight="14.45"/>
  <cols>
    <col min="1" max="1" width="35.85546875" bestFit="1" customWidth="1"/>
    <col min="2" max="2" width="26.5703125" bestFit="1" customWidth="1"/>
    <col min="3" max="3" width="39.85546875" bestFit="1" customWidth="1"/>
  </cols>
  <sheetData>
    <row r="3" spans="1:3">
      <c r="A3" s="93" t="s">
        <v>2084</v>
      </c>
      <c r="B3" t="s">
        <v>2085</v>
      </c>
      <c r="C3" t="s">
        <v>2086</v>
      </c>
    </row>
    <row r="4" spans="1:3">
      <c r="A4" s="94" t="s">
        <v>74</v>
      </c>
      <c r="B4" s="98">
        <v>1794278</v>
      </c>
      <c r="C4" s="99">
        <v>0.8</v>
      </c>
    </row>
    <row r="5" spans="1:3">
      <c r="A5" s="95" t="s">
        <v>73</v>
      </c>
      <c r="B5" s="98">
        <v>1794278</v>
      </c>
      <c r="C5" s="99">
        <v>0.8</v>
      </c>
    </row>
    <row r="6" spans="1:3">
      <c r="A6" s="94" t="s">
        <v>33</v>
      </c>
      <c r="B6" s="98">
        <v>2319369.6666666665</v>
      </c>
      <c r="C6" s="99">
        <v>1.7666666666666668</v>
      </c>
    </row>
    <row r="7" spans="1:3">
      <c r="A7" s="95" t="s">
        <v>32</v>
      </c>
      <c r="B7" s="98">
        <v>2302815</v>
      </c>
      <c r="C7" s="99">
        <v>2.36</v>
      </c>
    </row>
    <row r="8" spans="1:3">
      <c r="A8" s="95" t="s">
        <v>36</v>
      </c>
      <c r="B8" s="98">
        <v>2225377</v>
      </c>
      <c r="C8" s="99">
        <v>4.04</v>
      </c>
    </row>
    <row r="9" spans="1:3">
      <c r="A9" s="95" t="s">
        <v>58</v>
      </c>
      <c r="B9" s="98">
        <v>2429917</v>
      </c>
      <c r="C9" s="99">
        <v>-1.1000000000000001</v>
      </c>
    </row>
    <row r="10" spans="1:3">
      <c r="A10" s="94" t="s">
        <v>43</v>
      </c>
      <c r="B10" s="98">
        <v>1865187.5</v>
      </c>
      <c r="C10" s="99">
        <v>2.0774999999999997</v>
      </c>
    </row>
    <row r="11" spans="1:3">
      <c r="A11" s="95" t="s">
        <v>42</v>
      </c>
      <c r="B11" s="98">
        <v>2253579</v>
      </c>
      <c r="C11" s="99">
        <v>2.81</v>
      </c>
    </row>
    <row r="12" spans="1:3">
      <c r="A12" s="95" t="s">
        <v>49</v>
      </c>
      <c r="B12" s="98">
        <v>1394234</v>
      </c>
      <c r="C12" s="99">
        <v>2.35</v>
      </c>
    </row>
    <row r="13" spans="1:3">
      <c r="A13" s="95" t="s">
        <v>55</v>
      </c>
      <c r="B13" s="98">
        <v>1001010</v>
      </c>
      <c r="C13" s="99">
        <v>3.45</v>
      </c>
    </row>
    <row r="14" spans="1:3">
      <c r="A14" s="95" t="s">
        <v>67</v>
      </c>
      <c r="B14" s="98">
        <v>2811927</v>
      </c>
      <c r="C14" s="99">
        <v>-0.3</v>
      </c>
    </row>
    <row r="15" spans="1:3">
      <c r="A15" s="94" t="s">
        <v>23</v>
      </c>
      <c r="B15" s="98">
        <v>2733732</v>
      </c>
      <c r="C15" s="99">
        <v>2.5299999999999998</v>
      </c>
    </row>
    <row r="16" spans="1:3">
      <c r="A16" s="95" t="s">
        <v>22</v>
      </c>
      <c r="B16" s="98">
        <v>1091764</v>
      </c>
      <c r="C16" s="99">
        <v>1.07</v>
      </c>
    </row>
    <row r="17" spans="1:3">
      <c r="A17" s="95" t="s">
        <v>46</v>
      </c>
      <c r="B17" s="98">
        <v>2398871</v>
      </c>
      <c r="C17" s="99">
        <v>5.89</v>
      </c>
    </row>
    <row r="18" spans="1:3">
      <c r="A18" s="95" t="s">
        <v>61</v>
      </c>
      <c r="B18" s="98">
        <v>3298799</v>
      </c>
      <c r="C18" s="99">
        <v>0.01</v>
      </c>
    </row>
    <row r="19" spans="1:3">
      <c r="A19" s="95" t="s">
        <v>64</v>
      </c>
      <c r="B19" s="98">
        <v>4145494</v>
      </c>
      <c r="C19" s="99">
        <v>3.15</v>
      </c>
    </row>
    <row r="20" spans="1:3">
      <c r="A20" s="94" t="s">
        <v>28</v>
      </c>
      <c r="B20" s="98">
        <v>2471574.5</v>
      </c>
      <c r="C20" s="99">
        <v>8.9849999999999994</v>
      </c>
    </row>
    <row r="21" spans="1:3">
      <c r="A21" s="95" t="s">
        <v>27</v>
      </c>
      <c r="B21" s="98">
        <v>2550637</v>
      </c>
      <c r="C21" s="99">
        <v>11.7</v>
      </c>
    </row>
    <row r="22" spans="1:3">
      <c r="A22" s="95" t="s">
        <v>39</v>
      </c>
      <c r="B22" s="98">
        <v>1760548</v>
      </c>
      <c r="C22" s="99">
        <v>9.6300000000000008</v>
      </c>
    </row>
    <row r="23" spans="1:3">
      <c r="A23" s="95" t="s">
        <v>52</v>
      </c>
      <c r="B23" s="98">
        <v>2150553</v>
      </c>
      <c r="C23" s="99">
        <v>6.76</v>
      </c>
    </row>
    <row r="24" spans="1:3">
      <c r="A24" s="95" t="s">
        <v>70</v>
      </c>
      <c r="B24" s="98">
        <v>3424560</v>
      </c>
      <c r="C24" s="99">
        <v>7.85</v>
      </c>
    </row>
    <row r="25" spans="1:3">
      <c r="A25" s="94" t="s">
        <v>2087</v>
      </c>
      <c r="B25" s="98">
        <v>2314647.6875</v>
      </c>
      <c r="C25" s="99">
        <v>3.7793750000000004</v>
      </c>
    </row>
  </sheetData>
  <conditionalFormatting pivot="1" sqref="C4 C5 C6 C7:C9 C10 C11:C14 C15 C16:C19 C20 C21:C24">
    <cfRule type="dataBar" priority="2">
      <dataBar>
        <cfvo type="min"/>
        <cfvo type="max"/>
        <color rgb="FF63C384"/>
      </dataBar>
      <extLst>
        <ext xmlns:x14="http://schemas.microsoft.com/office/spreadsheetml/2009/9/main" uri="{B025F937-C7B1-47D3-B67F-A62EFF666E3E}">
          <x14:id>{2B3BF7D8-9002-4FA6-9014-86A69C5379CC}</x14:id>
        </ext>
      </extLst>
    </cfRule>
  </conditionalFormatting>
  <conditionalFormatting pivot="1" sqref="B5 B4 B6 B7:B9 B10 B11:B14 B15 B16:B19 B20 B21:B24">
    <cfRule type="colorScale" priority="1">
      <colorScale>
        <cfvo type="min"/>
        <cfvo type="percentile" val="50"/>
        <cfvo type="max"/>
        <color rgb="FFF8696B"/>
        <color rgb="FFFFEB84"/>
        <color rgb="FF63BE7B"/>
      </colorScale>
    </cfRule>
  </conditionalFormatting>
  <pageMargins left="0.7" right="0.7" top="0.75" bottom="0.75" header="0.3" footer="0.3"/>
  <drawing r:id="rId2"/>
  <extLst>
    <ext xmlns:x14="http://schemas.microsoft.com/office/spreadsheetml/2009/9/main" uri="{78C0D931-6437-407d-A8EE-F0AAD7539E65}">
      <x14:conditionalFormattings>
        <x14:conditionalFormatting xmlns:xm="http://schemas.microsoft.com/office/excel/2006/main" pivot="1">
          <x14:cfRule type="dataBar" id="{2B3BF7D8-9002-4FA6-9014-86A69C5379CC}">
            <x14:dataBar minLength="0" maxLength="100" gradient="0">
              <x14:cfvo type="autoMin"/>
              <x14:cfvo type="autoMax"/>
              <x14:negativeFillColor rgb="FFFF0000"/>
              <x14:axisColor rgb="FF000000"/>
            </x14:dataBar>
          </x14:cfRule>
          <xm:sqref>C4 C5 C6 C7:C9 C10 C11:C14 C15 C16:C19 C20 C21:C24</xm:sqref>
        </x14:conditionalFormatting>
      </x14:conditionalFormattings>
    </ex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74C9339-E590-48A2-8419-D0DE599C6064}"/>
</file>

<file path=docProps/app.xml><?xml version="1.0" encoding="utf-8"?>
<Properties xmlns="http://schemas.openxmlformats.org/officeDocument/2006/extended-properties" xmlns:vt="http://schemas.openxmlformats.org/officeDocument/2006/docPropsVTypes">
  <Application>Microsoft Excel Online</Application>
  <Manager/>
  <Company>Entain Group Pty Ltd</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Samuel Kelly</dc:creator>
  <cp:keywords/>
  <dc:description/>
  <cp:lastModifiedBy/>
  <cp:revision/>
  <dcterms:created xsi:type="dcterms:W3CDTF">2025-07-01T19:33:49Z</dcterms:created>
  <dcterms:modified xsi:type="dcterms:W3CDTF">2025-08-14T08:08:24Z</dcterms:modified>
  <cp:category/>
  <cp:contentStatus/>
</cp:coreProperties>
</file>